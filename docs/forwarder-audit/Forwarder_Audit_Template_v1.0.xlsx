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Audit" sheetId="2" state="visible" r:id="rId4"/>
    <sheet name="Summary" sheetId="3" state="visible" r:id="rId5"/>
    <sheet name="Lists" sheetId="4" state="visible" r:id="rId6"/>
    <sheet name="Checks" sheetId="5" state="hidden" r:id="rId7"/>
  </sheets>
  <definedNames>
    <definedName function="false" hidden="false" localSheetId="1" name="_xlnm.Print_Area" vbProcedure="false">Audit!$A$1:$R$148</definedName>
    <definedName function="false" hidden="false" localSheetId="2" name="_xlnm.Print_Area" vbProcedure="false">Summary!$A$1:$F$83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<sst xmlns="http://schemas.openxmlformats.org/spreadsheetml/2006/main" count="760" uniqueCount="590">
  <si>
    <t xml:space="preserve">How to audit a client's freight quotation</t>
  </si>
  <si>
    <t xml:space="preserve">UAT version 1.0 (frozen 23 Oct 2026). One quotation per audit. Five steps. Everything in grey, the findings and the Summary sheet fill in automatically - no macros.</t>
  </si>
  <si>
    <t xml:space="preserve">1  Collect documents</t>
  </si>
  <si>
    <t xml:space="preserve">The forwarder's quotation, the commercial invoice (CI), the packing list (PL) and any rate agreement or contract. Without an itemised quotation, CI or PL the status shows 'Insufficient Information'.</t>
  </si>
  <si>
    <t xml:space="preserve">2  Enter shipment details</t>
  </si>
  <si>
    <t xml:space="preserve">Audit sheet, section 1: copy the cargo from the CI/PL (pieces, cartons and pallets separately, weight, volume, value) and answer 'PL volume covers all cargo?'. Record the Incoterm exactly as on the CI and the client's role (buyer or seller). In section 3, answer 'Requested by client?' for each service.</t>
  </si>
  <si>
    <t xml:space="preserve">3  Enter the quotation charges</t>
  </si>
  <si>
    <t xml:space="preserve">Section 2: forwarder, date, freight validity and - only if stated - origin and destination charge validity (blank = Not Confirmed), currency, mode and containers, route, transit, free time; enter the cargo figures only if the quotation states them. Section 4: one row per quoted charge - Charge, Category, Basis, Rate, Status. Leave Currency blank for the quotation currency. Enter the forwarder's line total only if the quotation shows it (this is what makes a line 'Verified'). Enter Agreed rate only when a rate agreement was provided.</t>
  </si>
  <si>
    <t xml:space="preserve">4  Review the automatic findings</t>
  </si>
  <si>
    <t xml:space="preserve">Section 5 shows the status, the firm charges, estimates, conditional and unpriced items, and the findings in priority order. Use the 'Reviewer flag' column to record your own judgement on a line (e.g. possible duplicate) - it becomes a finding with the line amount. Accept a weight or CBM difference only with a reason (Accept diff. = Yes).</t>
  </si>
  <si>
    <t xml:space="preserve">5  Generate the audit summary</t>
  </si>
  <si>
    <t xml:space="preserve">Open the Summary sheet: it is already filled in. File &gt; Print (or Download as PDF in Google Sheets). It is set to fit one page wide.</t>
  </si>
  <si>
    <t xml:space="preserve">Colour key</t>
  </si>
  <si>
    <t xml:space="preserve">Type here</t>
  </si>
  <si>
    <t xml:space="preserve">Input cell. Dropdowns appear where a fixed list applies.</t>
  </si>
  <si>
    <t xml:space="preserve">Calculated</t>
  </si>
  <si>
    <t xml:space="preserve">Formula - do not overwrite.</t>
  </si>
  <si>
    <t xml:space="preserve">Status (one per audit)</t>
  </si>
  <si>
    <t xml:space="preserve">Insufficient Information</t>
  </si>
  <si>
    <t xml:space="preserve">CI or PL missing, quotation not itemised, or no line can be calculated.</t>
  </si>
  <si>
    <t xml:space="preserve">Corrections Required</t>
  </si>
  <si>
    <t xml:space="preserve">At least one confirmed error: a line amount or stated total that does not reconcile, a rate above the agreed rate, or quoted pieces/packages that contradict the CI/PL.</t>
  </si>
  <si>
    <t xml:space="preserve">Needs Clarification</t>
  </si>
  <si>
    <t xml:space="preserve">No confirmed errors, but open questions or risks (e.g. unpriced or excluded requested services, at-cost items, expiring rates).</t>
  </si>
  <si>
    <t xml:space="preserve">Audit Complete — No Issues Identified</t>
  </si>
  <si>
    <t xml:space="preserve">Only when no error, question or risk is open. It cannot appear while requested services are unpriced, excluded or estimated.</t>
  </si>
  <si>
    <t xml:space="preserve">Finding types</t>
  </si>
  <si>
    <t xml:space="preserve">Error</t>
  </si>
  <si>
    <t xml:space="preserve">Confirmed and must be corrected by the forwarder.</t>
  </si>
  <si>
    <t xml:space="preserve">Question</t>
  </si>
  <si>
    <t xml:space="preserve">Must be clarified before the client proceeds. Amounts shown are 'under question', not confirmed savings.</t>
  </si>
  <si>
    <t xml:space="preserve">Risk</t>
  </si>
  <si>
    <t xml:space="preserve">Cost could change or is not covered by the quotation.</t>
  </si>
  <si>
    <t xml:space="preserve">Good to know</t>
  </si>
  <si>
    <t xml:space="preserve">•</t>
  </si>
  <si>
    <t xml:space="preserve">'Verified' appears only when the forwarder's own line amount is entered and reconciles. Otherwise a line shows 'Calculated — Not Independently Verified'.</t>
  </si>
  <si>
    <t xml:space="preserve">Quantities fill in from the basis: per container = containers quoted; per CBM = shipped CBM; per RT = greater of CBM and tonnes; per kg = chargeable kg (air uses the stated divisor, else the default in Lists). Use 'Qty / base override' for per-unit lines and for the base of % charges.</t>
  </si>
  <si>
    <t xml:space="preserve">Statuses: Firm = in the firm figure · Estimate = shown separately · If required = conditional, only if the event occurs · At cost / TBC = no amount yet · Included / Excluded / Not applicable = no amount.</t>
  </si>
  <si>
    <t xml:space="preserve">The tool never judges prices against 'the market' and holds no duty or VAT rates. Agreed rates are checked only when entered from a rate agreement.</t>
  </si>
  <si>
    <t xml:space="preserve">Incoterm questions are raised only for services that Incoterms 2020 normally place on the other party (table in Lists). They are questions, not errors.</t>
  </si>
  <si>
    <t xml:space="preserve">Up to 50 charge lines and 30 findings are shown. To start a new audit, use a fresh copy of the blank template.</t>
  </si>
  <si>
    <t xml:space="preserve">A hidden sheet named 'Checks' runs the 20 checks with ordinary formulas. Do not edit or delete it. Settings (air divisor, validity warning, review threshold, rounding tolerance) are on the Lists sheet.</t>
  </si>
  <si>
    <t xml:space="preserve">MOVE · Freight Quotation Audit</t>
  </si>
  <si>
    <t xml:space="preserve">One quotation per audit. Yellow cells = type here · Grey cells = calculated · Dropdowns where shown. Checks run automatically.</t>
  </si>
  <si>
    <t xml:space="preserve">AUDIT STATUS</t>
  </si>
  <si>
    <t xml:space="preserve">1  SHIPMENT INFORMATION   From the commercial invoice, packing list and the client's request</t>
  </si>
  <si>
    <t xml:space="preserve">Audit reference</t>
  </si>
  <si>
    <t xml:space="preserve">Audit date</t>
  </si>
  <si>
    <t xml:space="preserve">Client</t>
  </si>
  <si>
    <t xml:space="preserve">Client role in the sale</t>
  </si>
  <si>
    <t xml:space="preserve">Commercial Incoterm</t>
  </si>
  <si>
    <t xml:space="preserve">Named place</t>
  </si>
  <si>
    <t xml:space="preserve">Port / airport of loading</t>
  </si>
  <si>
    <t xml:space="preserve">Port / airport of discharge</t>
  </si>
  <si>
    <t xml:space="preserve">Pickup address</t>
  </si>
  <si>
    <t xml:space="preserve">Delivery address</t>
  </si>
  <si>
    <t xml:space="preserve">Cargo ready date</t>
  </si>
  <si>
    <t xml:space="preserve">Commodity</t>
  </si>
  <si>
    <t xml:space="preserve">HS code</t>
  </si>
  <si>
    <t xml:space="preserve">Goods value (from CI)</t>
  </si>
  <si>
    <t xml:space="preserve">Goods value currency</t>
  </si>
  <si>
    <t xml:space="preserve">Pieces</t>
  </si>
  <si>
    <t xml:space="preserve">Cartons (count)</t>
  </si>
  <si>
    <t xml:space="preserve">Pallets (count; 0 if none)</t>
  </si>
  <si>
    <t xml:space="preserve">Gross weight (kg)</t>
  </si>
  <si>
    <t xml:space="preserve">Volume as shipped (CBM)</t>
  </si>
  <si>
    <t xml:space="preserve">Package / pallet dimensions</t>
  </si>
  <si>
    <t xml:space="preserve">Stackable</t>
  </si>
  <si>
    <t xml:space="preserve">Wood packaging</t>
  </si>
  <si>
    <t xml:space="preserve">Special cargo (DG, oversize, overweight)</t>
  </si>
  <si>
    <t xml:space="preserve">Commercial invoice received</t>
  </si>
  <si>
    <t xml:space="preserve">Packing list received</t>
  </si>
  <si>
    <t xml:space="preserve">Rate agreement / contract provided</t>
  </si>
  <si>
    <t xml:space="preserve">Quotation itemised (line by line)</t>
  </si>
  <si>
    <t xml:space="preserve">Preferential origin certificate (e.g. Form E)</t>
  </si>
  <si>
    <t xml:space="preserve">Import licence / customs regime confirmed</t>
  </si>
  <si>
    <t xml:space="preserve">Prepared by</t>
  </si>
  <si>
    <t xml:space="preserve">PL volume covers all cargo?</t>
  </si>
  <si>
    <t xml:space="preserve">2  QUOTATION INFORMATION   The quotation being audited</t>
  </si>
  <si>
    <t xml:space="preserve">Forwarder</t>
  </si>
  <si>
    <t xml:space="preserve">Quotation reference</t>
  </si>
  <si>
    <t xml:space="preserve">Quotation source and date</t>
  </si>
  <si>
    <t xml:space="preserve">Freight valid until</t>
  </si>
  <si>
    <t xml:space="preserve">Quotation currency</t>
  </si>
  <si>
    <t xml:space="preserve">Mode</t>
  </si>
  <si>
    <t xml:space="preserve">Containers (quantity)</t>
  </si>
  <si>
    <t xml:space="preserve">Container type</t>
  </si>
  <si>
    <t xml:space="preserve">Quoted term as written</t>
  </si>
  <si>
    <t xml:space="preserve">Routing (direct / via)</t>
  </si>
  <si>
    <t xml:space="preserve">Transit time</t>
  </si>
  <si>
    <t xml:space="preserve">Free time at destination (days)</t>
  </si>
  <si>
    <t xml:space="preserve">Load plan confirmed by forwarder</t>
  </si>
  <si>
    <t xml:space="preserve">Quoted route matches the request</t>
  </si>
  <si>
    <t xml:space="preserve">Air divisor stated (cm3/kg)</t>
  </si>
  <si>
    <t xml:space="preserve">Forwarder's stated total</t>
  </si>
  <si>
    <t xml:space="preserve">Other currency 1 (code)</t>
  </si>
  <si>
    <t xml:space="preserve">Rate: 1 unit = ? quote currency</t>
  </si>
  <si>
    <t xml:space="preserve">Other currency 2 (code)</t>
  </si>
  <si>
    <t xml:space="preserve">Origin charges valid until (blank = Not Confirmed)</t>
  </si>
  <si>
    <t xml:space="preserve">Destination charges valid until (blank = Not Confirmed)</t>
  </si>
  <si>
    <t xml:space="preserve">Cargo basis (blank Quoted = not stated)</t>
  </si>
  <si>
    <t xml:space="preserve">CI/PL (auto)</t>
  </si>
  <si>
    <t xml:space="preserve">Quoted</t>
  </si>
  <si>
    <t xml:space="preserve">Difference</t>
  </si>
  <si>
    <t xml:space="preserve">Diff %</t>
  </si>
  <si>
    <t xml:space="preserve">Accept diff.?</t>
  </si>
  <si>
    <t xml:space="preserve">Check (auto)</t>
  </si>
  <si>
    <t xml:space="preserve">Must match</t>
  </si>
  <si>
    <t xml:space="preserve">Packages (cartons or pallets)</t>
  </si>
  <si>
    <t xml:space="preserve">Volume (CBM)</t>
  </si>
  <si>
    <t xml:space="preserve">Revenue tonnes (auto, LCL)</t>
  </si>
  <si>
    <t xml:space="preserve">Chargeable weight kg (auto)</t>
  </si>
  <si>
    <t xml:space="preserve">3  REQUESTED SERVICES &amp; COVERAGE   Coverage fills in from the charge lines; only mark a service that has no lines</t>
  </si>
  <si>
    <t xml:space="preserve">Service</t>
  </si>
  <si>
    <t xml:space="preserve">Requested by client?</t>
  </si>
  <si>
    <t xml:space="preserve">Found in quotation (auto)</t>
  </si>
  <si>
    <t xml:space="preserve">Mark if no lines</t>
  </si>
  <si>
    <t xml:space="preserve">Coverage (auto)</t>
  </si>
  <si>
    <t xml:space="preserve">Firm amount (auto)</t>
  </si>
  <si>
    <t xml:space="preserve">Normally paid by (auto)</t>
  </si>
  <si>
    <t xml:space="preserve">Pickup</t>
  </si>
  <si>
    <t xml:space="preserve">Export &amp; origin</t>
  </si>
  <si>
    <t xml:space="preserve">Main freight</t>
  </si>
  <si>
    <t xml:space="preserve">Destination port &amp; handling</t>
  </si>
  <si>
    <t xml:space="preserve">Import clearance</t>
  </si>
  <si>
    <t xml:space="preserve">Delivery</t>
  </si>
  <si>
    <t xml:space="preserve">Duties &amp; taxes</t>
  </si>
  <si>
    <t xml:space="preserve">4  CHARGE BREAKDOWN   One row per quoted charge. Required: Charge, Category, Basis, Rate (unless at cost/TBC), Status</t>
  </si>
  <si>
    <t xml:space="preserve">#</t>
  </si>
  <si>
    <t xml:space="preserve">Charge (as quoted)</t>
  </si>
  <si>
    <t xml:space="preserve">Category</t>
  </si>
  <si>
    <t xml:space="preserve">Basis</t>
  </si>
  <si>
    <t xml:space="preserve">Rate</t>
  </si>
  <si>
    <t xml:space="preserve">Currency</t>
  </si>
  <si>
    <t xml:space="preserve">Status</t>
  </si>
  <si>
    <t xml:space="preserve">Qty used (auto)</t>
  </si>
  <si>
    <t xml:space="preserve">Qty / base override</t>
  </si>
  <si>
    <t xml:space="preserve">Minimum charge</t>
  </si>
  <si>
    <t xml:space="preserve">Local tax %</t>
  </si>
  <si>
    <t xml:space="preserve">Forwarder's line total</t>
  </si>
  <si>
    <t xml:space="preserve">Agreed rate</t>
  </si>
  <si>
    <t xml:space="preserve">Reviewer flag</t>
  </si>
  <si>
    <t xml:space="preserve">Note</t>
  </si>
  <si>
    <t xml:space="preserve">Calculated total (quote cur.)</t>
  </si>
  <si>
    <t xml:space="preserve">Group (auto)</t>
  </si>
  <si>
    <t xml:space="preserve">e.g.</t>
  </si>
  <si>
    <t xml:space="preserve">THC</t>
  </si>
  <si>
    <t xml:space="preserve">O2 Origin terminal &amp; handling</t>
  </si>
  <si>
    <t xml:space="preserve">per container</t>
  </si>
  <si>
    <t xml:space="preserve">USD</t>
  </si>
  <si>
    <t xml:space="preserve">Firm</t>
  </si>
  <si>
    <t xml:space="preserve">1</t>
  </si>
  <si>
    <t xml:space="preserve">Leave Currency blank = quote currency</t>
  </si>
  <si>
    <t xml:space="preserve">167.40</t>
  </si>
  <si>
    <t xml:space="preserve">Verified</t>
  </si>
  <si>
    <t xml:space="preserve">Origin</t>
  </si>
  <si>
    <t xml:space="preserve">5  AUDIT RESULTS   Automatic - significant findings only</t>
  </si>
  <si>
    <t xml:space="preserve">Overall status</t>
  </si>
  <si>
    <t xml:space="preserve">Estimates (not in firm figure)</t>
  </si>
  <si>
    <t xml:space="preserve">Conditional (only if they occur)</t>
  </si>
  <si>
    <t xml:space="preserve">Unpriced items (at cost / TBC)</t>
  </si>
  <si>
    <t xml:space="preserve">Confirmed discrepancies (net)</t>
  </si>
  <si>
    <t xml:space="preserve">Under question - NOT a saving</t>
  </si>
  <si>
    <t xml:space="preserve">Line verification</t>
  </si>
  <si>
    <t xml:space="preserve">Checks not performed</t>
  </si>
  <si>
    <t xml:space="preserve">Findings (most important first). Copy the Questions into an email, or use the Summary sheet.</t>
  </si>
  <si>
    <t xml:space="preserve">Type</t>
  </si>
  <si>
    <t xml:space="preserve">Charge</t>
  </si>
  <si>
    <t xml:space="preserve">Issue</t>
  </si>
  <si>
    <t xml:space="preserve">Explanation</t>
  </si>
  <si>
    <t xml:space="preserve">Recommended correction or question</t>
  </si>
  <si>
    <t xml:space="preserve">Amount at stake</t>
  </si>
  <si>
    <t xml:space="preserve">MOVE SUPPLY CHAIN</t>
  </si>
  <si>
    <t xml:space="preserve">Freight Quotation Audit - Summary</t>
  </si>
  <si>
    <t xml:space="preserve">Quotation audited</t>
  </si>
  <si>
    <t xml:space="preserve">Validity</t>
  </si>
  <si>
    <t xml:space="preserve">Route</t>
  </si>
  <si>
    <t xml:space="preserve">Shipment</t>
  </si>
  <si>
    <t xml:space="preserve">Cargo</t>
  </si>
  <si>
    <t xml:space="preserve">Cost picture</t>
  </si>
  <si>
    <t xml:space="preserve">Conditional charges - only if they occur</t>
  </si>
  <si>
    <t xml:space="preserve">Confirmed discrepancies (Errors, net)</t>
  </si>
  <si>
    <t xml:space="preserve">Amount under question - NOT a confirmed saving</t>
  </si>
  <si>
    <t xml:space="preserve">Requested services</t>
  </si>
  <si>
    <t xml:space="preserve">Requested</t>
  </si>
  <si>
    <t xml:space="preserve">Coverage</t>
  </si>
  <si>
    <t xml:space="preserve">Normally paid by (Incoterm)</t>
  </si>
  <si>
    <t xml:space="preserve">Firm amount</t>
  </si>
  <si>
    <t xml:space="preserve">Findings and recommended actions</t>
  </si>
  <si>
    <t xml:space="preserve">Questions to send to the forwarder</t>
  </si>
  <si>
    <t xml:space="preserve">Scope of this audit</t>
  </si>
  <si>
    <t xml:space="preserve">Lists &amp; settings (used by the dropdowns and checks; edit settings in column B rows 41-44 only)</t>
  </si>
  <si>
    <t xml:space="preserve">Group</t>
  </si>
  <si>
    <t xml:space="preserve">Incoterm</t>
  </si>
  <si>
    <t xml:space="preserve">O1 Pickup</t>
  </si>
  <si>
    <t xml:space="preserve">EXW</t>
  </si>
  <si>
    <t xml:space="preserve">Buyer</t>
  </si>
  <si>
    <t xml:space="preserve">per B/L</t>
  </si>
  <si>
    <t xml:space="preserve">Estimate</t>
  </si>
  <si>
    <t xml:space="preserve">FCA</t>
  </si>
  <si>
    <t xml:space="preserve">Shared</t>
  </si>
  <si>
    <t xml:space="preserve">O3 Export docs, filing &amp; clearance</t>
  </si>
  <si>
    <t xml:space="preserve">per shipment</t>
  </si>
  <si>
    <t xml:space="preserve">If required</t>
  </si>
  <si>
    <t xml:space="preserve">FAS</t>
  </si>
  <si>
    <t xml:space="preserve">Seller</t>
  </si>
  <si>
    <t xml:space="preserve">F1 Base freight</t>
  </si>
  <si>
    <t xml:space="preserve">Main Freight</t>
  </si>
  <si>
    <t xml:space="preserve">per declaration / set</t>
  </si>
  <si>
    <t xml:space="preserve">At cost</t>
  </si>
  <si>
    <t xml:space="preserve">FOB</t>
  </si>
  <si>
    <t xml:space="preserve">F2 Freight surcharges</t>
  </si>
  <si>
    <t xml:space="preserve">per CBM</t>
  </si>
  <si>
    <t xml:space="preserve">TBC</t>
  </si>
  <si>
    <t xml:space="preserve">CFR</t>
  </si>
  <si>
    <t xml:space="preserve">D1 Destination terminal &amp; port</t>
  </si>
  <si>
    <t xml:space="preserve">Destination</t>
  </si>
  <si>
    <t xml:space="preserve">per RT (CBM or tonne)</t>
  </si>
  <si>
    <t xml:space="preserve">Included</t>
  </si>
  <si>
    <t xml:space="preserve">CIF</t>
  </si>
  <si>
    <t xml:space="preserve">D2 Destination docs &amp; handling</t>
  </si>
  <si>
    <t xml:space="preserve">per kg</t>
  </si>
  <si>
    <t xml:space="preserve">Excluded</t>
  </si>
  <si>
    <t xml:space="preserve">CPT</t>
  </si>
  <si>
    <t xml:space="preserve">D3 Import customs clearance</t>
  </si>
  <si>
    <t xml:space="preserve">per unit (enter qty)</t>
  </si>
  <si>
    <t xml:space="preserve">Not applicable</t>
  </si>
  <si>
    <t xml:space="preserve">CIP</t>
  </si>
  <si>
    <t xml:space="preserve">D4 Delivery</t>
  </si>
  <si>
    <t xml:space="preserve">% of base (enter base)</t>
  </si>
  <si>
    <t xml:space="preserve">DAP</t>
  </si>
  <si>
    <t xml:space="preserve">T1 Import duty</t>
  </si>
  <si>
    <t xml:space="preserve">Duties/Taxes</t>
  </si>
  <si>
    <t xml:space="preserve">lump sum</t>
  </si>
  <si>
    <t xml:space="preserve">DPU</t>
  </si>
  <si>
    <t xml:space="preserve">T2 Import VAT / GST</t>
  </si>
  <si>
    <t xml:space="preserve">at cost</t>
  </si>
  <si>
    <t xml:space="preserve">DDP</t>
  </si>
  <si>
    <t xml:space="preserve">T3 Tax-related fees</t>
  </si>
  <si>
    <t xml:space="preserve">Unclassified</t>
  </si>
  <si>
    <t xml:space="preserve">Other</t>
  </si>
  <si>
    <t xml:space="preserve">Who normally pays each service under Incoterms 2020 (general practice; 'Shared' = depends on named place or terminal practice, so no question is raised).</t>
  </si>
  <si>
    <t xml:space="preserve">Default explanation</t>
  </si>
  <si>
    <t xml:space="preserve">Recommended action</t>
  </si>
  <si>
    <t xml:space="preserve">Use line amount</t>
  </si>
  <si>
    <t xml:space="preserve">Possible duplicate</t>
  </si>
  <si>
    <t xml:space="preserve">Possible duplicate charge</t>
  </si>
  <si>
    <t xml:space="preserve">The same service may already be charged in another line.</t>
  </si>
  <si>
    <t xml:space="preserve">Ask whether this service is already included elsewhere; remove it if duplicated.</t>
  </si>
  <si>
    <t xml:space="preserve">Unclear / unexplained</t>
  </si>
  <si>
    <t xml:space="preserve">Charge not explained</t>
  </si>
  <si>
    <t xml:space="preserve">The charge name or purpose is not clear from the quotation.</t>
  </si>
  <si>
    <t xml:space="preserve">Ask the forwarder what this charge covers and why it applies.</t>
  </si>
  <si>
    <t xml:space="preserve">Not applicable to this cargo</t>
  </si>
  <si>
    <t xml:space="preserve">May not apply to this shipment</t>
  </si>
  <si>
    <t xml:space="preserve">The charge does not appear to apply to this cargo or route.</t>
  </si>
  <si>
    <t xml:space="preserve">Ask the forwarder to remove it or explain why it applies.</t>
  </si>
  <si>
    <t xml:space="preserve">Questionable basis or unit</t>
  </si>
  <si>
    <t xml:space="preserve">Charging basis looks wrong</t>
  </si>
  <si>
    <t xml:space="preserve">The unit or quantity used does not suit this charge.</t>
  </si>
  <si>
    <t xml:space="preserve">Ask the forwarder to confirm the unit and quantity used.</t>
  </si>
  <si>
    <t xml:space="preserve">Other - see note</t>
  </si>
  <si>
    <t xml:space="preserve">Reviewer query</t>
  </si>
  <si>
    <t xml:space="preserve">See the note on this line.</t>
  </si>
  <si>
    <t xml:space="preserve">Raise the note with the forwarder.</t>
  </si>
  <si>
    <t xml:space="preserve">Services (order fixed)</t>
  </si>
  <si>
    <t xml:space="preserve">Setting</t>
  </si>
  <si>
    <t xml:space="preserve">Value</t>
  </si>
  <si>
    <t xml:space="preserve">Meaning</t>
  </si>
  <si>
    <t xml:space="preserve">Default air volume divisor (cm3 per kg)</t>
  </si>
  <si>
    <t xml:space="preserve">Used only when the quotation or carrier tariff states no divisor.</t>
  </si>
  <si>
    <t xml:space="preserve">Validity warning (days)</t>
  </si>
  <si>
    <t xml:space="preserve">A Risk is raised when rates expire within this many days of the audit date.</t>
  </si>
  <si>
    <t xml:space="preserve">Weight / CBM review threshold (%)</t>
  </si>
  <si>
    <t xml:space="preserve">0 = every difference is raised for review. Differences are never accepted automatically.</t>
  </si>
  <si>
    <t xml:space="preserve">Rounding tolerance (amount)</t>
  </si>
  <si>
    <t xml:space="preserve">Differences up to this amount are treated as rounding when reconciling line totals.</t>
  </si>
  <si>
    <t xml:space="preserve">Line</t>
  </si>
  <si>
    <t xml:space="preserve">Name</t>
  </si>
  <si>
    <t xml:space="preserve">Basis code</t>
  </si>
  <si>
    <t xml:space="preserve">FX</t>
  </si>
  <si>
    <t xml:space="preserve">Qty used</t>
  </si>
  <si>
    <t xml:space="preserve">Pre-tax (line cur)</t>
  </si>
  <si>
    <t xml:space="preserve">Incl. tax (line cur)</t>
  </si>
  <si>
    <t xml:space="preserve">Total (quote cur)</t>
  </si>
  <si>
    <t xml:space="preserve">Priced</t>
  </si>
  <si>
    <t xml:space="preserve">Fwd total</t>
  </si>
  <si>
    <t xml:space="preserve">Verification</t>
  </si>
  <si>
    <t xml:space="preserve">Diff (quote cur)</t>
  </si>
  <si>
    <t xml:space="preserve">Agreed excess</t>
  </si>
  <si>
    <t xml:space="preserve">Flag</t>
  </si>
  <si>
    <t xml:space="preserve">Dup</t>
  </si>
  <si>
    <t xml:space="preserve">In scope</t>
  </si>
  <si>
    <t xml:space="preserve">Unpriced</t>
  </si>
  <si>
    <t xml:space="preserve">Q kind</t>
  </si>
  <si>
    <t xml:space="preserve">Tax</t>
  </si>
  <si>
    <t xml:space="preserve">Errors</t>
  </si>
  <si>
    <t xml:space="preserve">Questions</t>
  </si>
  <si>
    <t xml:space="preserve">Risks</t>
  </si>
  <si>
    <t xml:space="preserve">Insufficient</t>
  </si>
  <si>
    <t xml:space="preserve">Lines entered</t>
  </si>
  <si>
    <t xml:space="preserve">Priced lines</t>
  </si>
  <si>
    <t xml:space="preserve">FX missing</t>
  </si>
  <si>
    <t xml:space="preserve">Known firm (quote cur)</t>
  </si>
  <si>
    <t xml:space="preserve">Estimates</t>
  </si>
  <si>
    <t xml:space="preserve">Estimate lines</t>
  </si>
  <si>
    <t xml:space="preserve">Conditional priced</t>
  </si>
  <si>
    <t xml:space="preserve">Conditional unpriced count</t>
  </si>
  <si>
    <t xml:space="preserve">Unpriced count</t>
  </si>
  <si>
    <t xml:space="preserve">Confirmed discrepancies</t>
  </si>
  <si>
    <t xml:space="preserve">Under question</t>
  </si>
  <si>
    <t xml:space="preserve">Services not all-in</t>
  </si>
  <si>
    <t xml:space="preserve">All-in?</t>
  </si>
  <si>
    <t xml:space="preserve">Total label</t>
  </si>
  <si>
    <t xml:space="preserve">Status sentence</t>
  </si>
  <si>
    <t xml:space="preserve">Firm note</t>
  </si>
  <si>
    <t xml:space="preserve">Verification text</t>
  </si>
  <si>
    <t xml:space="preserve">Not checked</t>
  </si>
  <si>
    <t xml:space="preserve">Verified count</t>
  </si>
  <si>
    <t xml:space="preserve">Calc-only count</t>
  </si>
  <si>
    <t xml:space="preserve">Error lines</t>
  </si>
  <si>
    <t xml:space="preserve">Firm pre-tax (quote cur)</t>
  </si>
  <si>
    <t xml:space="preserve">Firm incl tax (quote cur)</t>
  </si>
  <si>
    <t xml:space="preserve">Revenue tonnes</t>
  </si>
  <si>
    <t xml:space="preserve">Chargeable kg</t>
  </si>
  <si>
    <t xml:space="preserve">Divisor used</t>
  </si>
  <si>
    <t xml:space="preserve">CBM</t>
  </si>
  <si>
    <t xml:space="preserve">Not started</t>
  </si>
  <si>
    <t xml:space="preserve">Unpriced lines</t>
  </si>
  <si>
    <t xml:space="preserve">N/A</t>
  </si>
  <si>
    <t xml:space="preserve">Found</t>
  </si>
  <si>
    <t xml:space="preserve">Mark</t>
  </si>
  <si>
    <t xml:space="preserve">Payer</t>
  </si>
  <si>
    <t xml:space="preserve">Firm lines</t>
  </si>
  <si>
    <t xml:space="preserve">Mismatch party</t>
  </si>
  <si>
    <t xml:space="preserve">Key</t>
  </si>
  <si>
    <t xml:space="preserve">Active</t>
  </si>
  <si>
    <t xml:space="preserve">Order</t>
  </si>
  <si>
    <t xml:space="preserve">Action</t>
  </si>
  <si>
    <t xml:space="preserve">Amount</t>
  </si>
  <si>
    <t xml:space="preserve">Rank</t>
  </si>
  <si>
    <t xml:space="preserve">QRank</t>
  </si>
  <si>
    <t xml:space="preserve">CI</t>
  </si>
  <si>
    <t xml:space="preserve">PL</t>
  </si>
  <si>
    <t xml:space="preserve">ITEM</t>
  </si>
  <si>
    <t xml:space="preserve">NOPRICE</t>
  </si>
  <si>
    <t xml:space="preserve">VMISS</t>
  </si>
  <si>
    <t xml:space="preserve">VEXP</t>
  </si>
  <si>
    <t xml:space="preserve">VSOON</t>
  </si>
  <si>
    <t xml:space="preserve">TRANSIT</t>
  </si>
  <si>
    <t xml:space="preserve">FREE</t>
  </si>
  <si>
    <t xml:space="preserve">CONT</t>
  </si>
  <si>
    <t xml:space="preserve">LOAD</t>
  </si>
  <si>
    <t xml:space="preserve">ROUTE</t>
  </si>
  <si>
    <t xml:space="preserve">SPECIAL</t>
  </si>
  <si>
    <t xml:space="preserve">VOL</t>
  </si>
  <si>
    <t xml:space="preserve">VOriginNC</t>
  </si>
  <si>
    <t xml:space="preserve">VOriginEXP</t>
  </si>
  <si>
    <t xml:space="preserve">VOriginSOON</t>
  </si>
  <si>
    <t xml:space="preserve">VDestinationNC</t>
  </si>
  <si>
    <t xml:space="preserve">VDestinationEXP</t>
  </si>
  <si>
    <t xml:space="preserve">VDestinationSOON</t>
  </si>
  <si>
    <t xml:space="preserve">PCS</t>
  </si>
  <si>
    <t xml:space="preserve">PKG</t>
  </si>
  <si>
    <t xml:space="preserve">NOTSTATED</t>
  </si>
  <si>
    <t xml:space="preserve">GW</t>
  </si>
  <si>
    <t xml:space="preserve">TOTAL</t>
  </si>
  <si>
    <t xml:space="preserve">EST</t>
  </si>
  <si>
    <t xml:space="preserve">WOOD</t>
  </si>
  <si>
    <t xml:space="preserve">COV0</t>
  </si>
  <si>
    <t xml:space="preserve">INC0</t>
  </si>
  <si>
    <t xml:space="preserve">OUT0</t>
  </si>
  <si>
    <t xml:space="preserve">COV1</t>
  </si>
  <si>
    <t xml:space="preserve">INC1</t>
  </si>
  <si>
    <t xml:space="preserve">OUT1</t>
  </si>
  <si>
    <t xml:space="preserve">COV2</t>
  </si>
  <si>
    <t xml:space="preserve">INC2</t>
  </si>
  <si>
    <t xml:space="preserve">OUT2</t>
  </si>
  <si>
    <t xml:space="preserve">COV3</t>
  </si>
  <si>
    <t xml:space="preserve">INC3</t>
  </si>
  <si>
    <t xml:space="preserve">OUT3</t>
  </si>
  <si>
    <t xml:space="preserve">COV4</t>
  </si>
  <si>
    <t xml:space="preserve">INC4</t>
  </si>
  <si>
    <t xml:space="preserve">OUT4</t>
  </si>
  <si>
    <t xml:space="preserve">COV5</t>
  </si>
  <si>
    <t xml:space="preserve">INC5</t>
  </si>
  <si>
    <t xml:space="preserve">OUT5</t>
  </si>
  <si>
    <t xml:space="preserve">COV6</t>
  </si>
  <si>
    <t xml:space="preserve">INC6</t>
  </si>
  <si>
    <t xml:space="preserve">OUT6</t>
  </si>
  <si>
    <t xml:space="preserve">LE0</t>
  </si>
  <si>
    <t xml:space="preserve">LA0</t>
  </si>
  <si>
    <t xml:space="preserve">LQ0</t>
  </si>
  <si>
    <t xml:space="preserve">LR0</t>
  </si>
  <si>
    <t xml:space="preserve">LE1</t>
  </si>
  <si>
    <t xml:space="preserve">LA1</t>
  </si>
  <si>
    <t xml:space="preserve">LQ1</t>
  </si>
  <si>
    <t xml:space="preserve">LR1</t>
  </si>
  <si>
    <t xml:space="preserve">LE2</t>
  </si>
  <si>
    <t xml:space="preserve">LA2</t>
  </si>
  <si>
    <t xml:space="preserve">LQ2</t>
  </si>
  <si>
    <t xml:space="preserve">LR2</t>
  </si>
  <si>
    <t xml:space="preserve">LE3</t>
  </si>
  <si>
    <t xml:space="preserve">LA3</t>
  </si>
  <si>
    <t xml:space="preserve">LQ3</t>
  </si>
  <si>
    <t xml:space="preserve">LR3</t>
  </si>
  <si>
    <t xml:space="preserve">LE4</t>
  </si>
  <si>
    <t xml:space="preserve">LA4</t>
  </si>
  <si>
    <t xml:space="preserve">LQ4</t>
  </si>
  <si>
    <t xml:space="preserve">LR4</t>
  </si>
  <si>
    <t xml:space="preserve">LE5</t>
  </si>
  <si>
    <t xml:space="preserve">LA5</t>
  </si>
  <si>
    <t xml:space="preserve">LQ5</t>
  </si>
  <si>
    <t xml:space="preserve">LR5</t>
  </si>
  <si>
    <t xml:space="preserve">LE6</t>
  </si>
  <si>
    <t xml:space="preserve">LA6</t>
  </si>
  <si>
    <t xml:space="preserve">LQ6</t>
  </si>
  <si>
    <t xml:space="preserve">LR6</t>
  </si>
  <si>
    <t xml:space="preserve">LE7</t>
  </si>
  <si>
    <t xml:space="preserve">LA7</t>
  </si>
  <si>
    <t xml:space="preserve">LQ7</t>
  </si>
  <si>
    <t xml:space="preserve">LR7</t>
  </si>
  <si>
    <t xml:space="preserve">LE8</t>
  </si>
  <si>
    <t xml:space="preserve">LA8</t>
  </si>
  <si>
    <t xml:space="preserve">LQ8</t>
  </si>
  <si>
    <t xml:space="preserve">LR8</t>
  </si>
  <si>
    <t xml:space="preserve">LE9</t>
  </si>
  <si>
    <t xml:space="preserve">LA9</t>
  </si>
  <si>
    <t xml:space="preserve">LQ9</t>
  </si>
  <si>
    <t xml:space="preserve">LR9</t>
  </si>
  <si>
    <t xml:space="preserve">LE10</t>
  </si>
  <si>
    <t xml:space="preserve">LA10</t>
  </si>
  <si>
    <t xml:space="preserve">LQ10</t>
  </si>
  <si>
    <t xml:space="preserve">LR10</t>
  </si>
  <si>
    <t xml:space="preserve">LE11</t>
  </si>
  <si>
    <t xml:space="preserve">LA11</t>
  </si>
  <si>
    <t xml:space="preserve">LQ11</t>
  </si>
  <si>
    <t xml:space="preserve">LR11</t>
  </si>
  <si>
    <t xml:space="preserve">LE12</t>
  </si>
  <si>
    <t xml:space="preserve">LA12</t>
  </si>
  <si>
    <t xml:space="preserve">LQ12</t>
  </si>
  <si>
    <t xml:space="preserve">LR12</t>
  </si>
  <si>
    <t xml:space="preserve">LE13</t>
  </si>
  <si>
    <t xml:space="preserve">LA13</t>
  </si>
  <si>
    <t xml:space="preserve">LQ13</t>
  </si>
  <si>
    <t xml:space="preserve">LR13</t>
  </si>
  <si>
    <t xml:space="preserve">LE14</t>
  </si>
  <si>
    <t xml:space="preserve">LA14</t>
  </si>
  <si>
    <t xml:space="preserve">LQ14</t>
  </si>
  <si>
    <t xml:space="preserve">LR14</t>
  </si>
  <si>
    <t xml:space="preserve">LE15</t>
  </si>
  <si>
    <t xml:space="preserve">LA15</t>
  </si>
  <si>
    <t xml:space="preserve">LQ15</t>
  </si>
  <si>
    <t xml:space="preserve">LR15</t>
  </si>
  <si>
    <t xml:space="preserve">LE16</t>
  </si>
  <si>
    <t xml:space="preserve">LA16</t>
  </si>
  <si>
    <t xml:space="preserve">LQ16</t>
  </si>
  <si>
    <t xml:space="preserve">LR16</t>
  </si>
  <si>
    <t xml:space="preserve">LE17</t>
  </si>
  <si>
    <t xml:space="preserve">LA17</t>
  </si>
  <si>
    <t xml:space="preserve">LQ17</t>
  </si>
  <si>
    <t xml:space="preserve">LR17</t>
  </si>
  <si>
    <t xml:space="preserve">LE18</t>
  </si>
  <si>
    <t xml:space="preserve">LA18</t>
  </si>
  <si>
    <t xml:space="preserve">LQ18</t>
  </si>
  <si>
    <t xml:space="preserve">LR18</t>
  </si>
  <si>
    <t xml:space="preserve">LE19</t>
  </si>
  <si>
    <t xml:space="preserve">LA19</t>
  </si>
  <si>
    <t xml:space="preserve">LQ19</t>
  </si>
  <si>
    <t xml:space="preserve">LR19</t>
  </si>
  <si>
    <t xml:space="preserve">LE20</t>
  </si>
  <si>
    <t xml:space="preserve">LA20</t>
  </si>
  <si>
    <t xml:space="preserve">LQ20</t>
  </si>
  <si>
    <t xml:space="preserve">LR20</t>
  </si>
  <si>
    <t xml:space="preserve">LE21</t>
  </si>
  <si>
    <t xml:space="preserve">LA21</t>
  </si>
  <si>
    <t xml:space="preserve">LQ21</t>
  </si>
  <si>
    <t xml:space="preserve">LR21</t>
  </si>
  <si>
    <t xml:space="preserve">LE22</t>
  </si>
  <si>
    <t xml:space="preserve">LA22</t>
  </si>
  <si>
    <t xml:space="preserve">LQ22</t>
  </si>
  <si>
    <t xml:space="preserve">LR22</t>
  </si>
  <si>
    <t xml:space="preserve">LE23</t>
  </si>
  <si>
    <t xml:space="preserve">LA23</t>
  </si>
  <si>
    <t xml:space="preserve">LQ23</t>
  </si>
  <si>
    <t xml:space="preserve">LR23</t>
  </si>
  <si>
    <t xml:space="preserve">LE24</t>
  </si>
  <si>
    <t xml:space="preserve">LA24</t>
  </si>
  <si>
    <t xml:space="preserve">LQ24</t>
  </si>
  <si>
    <t xml:space="preserve">LR24</t>
  </si>
  <si>
    <t xml:space="preserve">LE25</t>
  </si>
  <si>
    <t xml:space="preserve">LA25</t>
  </si>
  <si>
    <t xml:space="preserve">LQ25</t>
  </si>
  <si>
    <t xml:space="preserve">LR25</t>
  </si>
  <si>
    <t xml:space="preserve">LE26</t>
  </si>
  <si>
    <t xml:space="preserve">LA26</t>
  </si>
  <si>
    <t xml:space="preserve">LQ26</t>
  </si>
  <si>
    <t xml:space="preserve">LR26</t>
  </si>
  <si>
    <t xml:space="preserve">LE27</t>
  </si>
  <si>
    <t xml:space="preserve">LA27</t>
  </si>
  <si>
    <t xml:space="preserve">LQ27</t>
  </si>
  <si>
    <t xml:space="preserve">LR27</t>
  </si>
  <si>
    <t xml:space="preserve">LE28</t>
  </si>
  <si>
    <t xml:space="preserve">LA28</t>
  </si>
  <si>
    <t xml:space="preserve">LQ28</t>
  </si>
  <si>
    <t xml:space="preserve">LR28</t>
  </si>
  <si>
    <t xml:space="preserve">LE29</t>
  </si>
  <si>
    <t xml:space="preserve">LA29</t>
  </si>
  <si>
    <t xml:space="preserve">LQ29</t>
  </si>
  <si>
    <t xml:space="preserve">LR29</t>
  </si>
  <si>
    <t xml:space="preserve">LE30</t>
  </si>
  <si>
    <t xml:space="preserve">LA30</t>
  </si>
  <si>
    <t xml:space="preserve">LQ30</t>
  </si>
  <si>
    <t xml:space="preserve">LR30</t>
  </si>
  <si>
    <t xml:space="preserve">LE31</t>
  </si>
  <si>
    <t xml:space="preserve">LA31</t>
  </si>
  <si>
    <t xml:space="preserve">LQ31</t>
  </si>
  <si>
    <t xml:space="preserve">LR31</t>
  </si>
  <si>
    <t xml:space="preserve">LE32</t>
  </si>
  <si>
    <t xml:space="preserve">LA32</t>
  </si>
  <si>
    <t xml:space="preserve">LQ32</t>
  </si>
  <si>
    <t xml:space="preserve">LR32</t>
  </si>
  <si>
    <t xml:space="preserve">LE33</t>
  </si>
  <si>
    <t xml:space="preserve">LA33</t>
  </si>
  <si>
    <t xml:space="preserve">LQ33</t>
  </si>
  <si>
    <t xml:space="preserve">LR33</t>
  </si>
  <si>
    <t xml:space="preserve">LE34</t>
  </si>
  <si>
    <t xml:space="preserve">LA34</t>
  </si>
  <si>
    <t xml:space="preserve">LQ34</t>
  </si>
  <si>
    <t xml:space="preserve">LR34</t>
  </si>
  <si>
    <t xml:space="preserve">LE35</t>
  </si>
  <si>
    <t xml:space="preserve">LA35</t>
  </si>
  <si>
    <t xml:space="preserve">LQ35</t>
  </si>
  <si>
    <t xml:space="preserve">LR35</t>
  </si>
  <si>
    <t xml:space="preserve">LE36</t>
  </si>
  <si>
    <t xml:space="preserve">LA36</t>
  </si>
  <si>
    <t xml:space="preserve">LQ36</t>
  </si>
  <si>
    <t xml:space="preserve">LR36</t>
  </si>
  <si>
    <t xml:space="preserve">LE37</t>
  </si>
  <si>
    <t xml:space="preserve">LA37</t>
  </si>
  <si>
    <t xml:space="preserve">LQ37</t>
  </si>
  <si>
    <t xml:space="preserve">LR37</t>
  </si>
  <si>
    <t xml:space="preserve">LE38</t>
  </si>
  <si>
    <t xml:space="preserve">LA38</t>
  </si>
  <si>
    <t xml:space="preserve">LQ38</t>
  </si>
  <si>
    <t xml:space="preserve">LR38</t>
  </si>
  <si>
    <t xml:space="preserve">LE39</t>
  </si>
  <si>
    <t xml:space="preserve">LA39</t>
  </si>
  <si>
    <t xml:space="preserve">LQ39</t>
  </si>
  <si>
    <t xml:space="preserve">LR39</t>
  </si>
  <si>
    <t xml:space="preserve">LE40</t>
  </si>
  <si>
    <t xml:space="preserve">LA40</t>
  </si>
  <si>
    <t xml:space="preserve">LQ40</t>
  </si>
  <si>
    <t xml:space="preserve">LR40</t>
  </si>
  <si>
    <t xml:space="preserve">LE41</t>
  </si>
  <si>
    <t xml:space="preserve">LA41</t>
  </si>
  <si>
    <t xml:space="preserve">LQ41</t>
  </si>
  <si>
    <t xml:space="preserve">LR41</t>
  </si>
  <si>
    <t xml:space="preserve">LE42</t>
  </si>
  <si>
    <t xml:space="preserve">LA42</t>
  </si>
  <si>
    <t xml:space="preserve">LQ42</t>
  </si>
  <si>
    <t xml:space="preserve">LR42</t>
  </si>
  <si>
    <t xml:space="preserve">LE43</t>
  </si>
  <si>
    <t xml:space="preserve">LA43</t>
  </si>
  <si>
    <t xml:space="preserve">LQ43</t>
  </si>
  <si>
    <t xml:space="preserve">LR43</t>
  </si>
  <si>
    <t xml:space="preserve">LE44</t>
  </si>
  <si>
    <t xml:space="preserve">LA44</t>
  </si>
  <si>
    <t xml:space="preserve">LQ44</t>
  </si>
  <si>
    <t xml:space="preserve">LR44</t>
  </si>
  <si>
    <t xml:space="preserve">LE45</t>
  </si>
  <si>
    <t xml:space="preserve">LA45</t>
  </si>
  <si>
    <t xml:space="preserve">LQ45</t>
  </si>
  <si>
    <t xml:space="preserve">LR45</t>
  </si>
  <si>
    <t xml:space="preserve">LE46</t>
  </si>
  <si>
    <t xml:space="preserve">LA46</t>
  </si>
  <si>
    <t xml:space="preserve">LQ46</t>
  </si>
  <si>
    <t xml:space="preserve">LR46</t>
  </si>
  <si>
    <t xml:space="preserve">LE47</t>
  </si>
  <si>
    <t xml:space="preserve">LA47</t>
  </si>
  <si>
    <t xml:space="preserve">LQ47</t>
  </si>
  <si>
    <t xml:space="preserve">LR47</t>
  </si>
  <si>
    <t xml:space="preserve">LE48</t>
  </si>
  <si>
    <t xml:space="preserve">LA48</t>
  </si>
  <si>
    <t xml:space="preserve">LQ48</t>
  </si>
  <si>
    <t xml:space="preserve">LR48</t>
  </si>
  <si>
    <t xml:space="preserve">LE49</t>
  </si>
  <si>
    <t xml:space="preserve">LA49</t>
  </si>
  <si>
    <t xml:space="preserve">LQ49</t>
  </si>
  <si>
    <t xml:space="preserve">LR49</t>
  </si>
</sst>
</file>

<file path=xl/styles.xml><?xml version="1.0" encoding="utf-8"?>
<styleSheet xmlns="http://schemas.openxmlformats.org/spreadsheetml/2006/main">
  <numFmts count="11">
    <numFmt numFmtId="164" formatCode="General"/>
    <numFmt numFmtId="165" formatCode="#,##0.00;[RED]\-#,##0.00;\-"/>
    <numFmt numFmtId="166" formatCode="d\ mmm\ yyyy"/>
    <numFmt numFmtId="167" formatCode="#,##0.###"/>
    <numFmt numFmtId="168" formatCode="0.0%"/>
    <numFmt numFmtId="169" formatCode="#,##0.##"/>
    <numFmt numFmtId="170" formatCode="0%"/>
    <numFmt numFmtId="171" formatCode="#,##0.00##"/>
    <numFmt numFmtId="172" formatCode="#,##0.00"/>
    <numFmt numFmtId="173" formatCode="General"/>
    <numFmt numFmtId="174" formatCode="0"/>
  </numFmts>
  <fonts count="30">
    <font>
      <sz val="11"/>
      <color theme="1"/>
      <name val="Calibri"/>
      <family val="2"/>
      <charset val="1"/>
    </font>
    <font>
      <sz val="10"/>
      <name val="Arial"/>
      <family val="0"/>
    </font>
    <font>
      <sz val="10"/>
      <name val="Arial"/>
      <family val="0"/>
    </font>
    <font>
      <sz val="10"/>
      <name val="Arial"/>
      <family val="0"/>
    </font>
    <font>
      <b val="true"/>
      <sz val="16"/>
      <color rgb="FF173F31"/>
      <name val="Arial"/>
      <family val="0"/>
      <charset val="1"/>
    </font>
    <font>
      <sz val="10"/>
      <color rgb="FF525A54"/>
      <name val="Arial"/>
      <family val="0"/>
      <charset val="1"/>
    </font>
    <font>
      <b val="true"/>
      <sz val="11"/>
      <color rgb="FF1E5B45"/>
      <name val="Arial"/>
      <family val="0"/>
      <charset val="1"/>
    </font>
    <font>
      <sz val="10"/>
      <color rgb="FF1C211E"/>
      <name val="Arial"/>
      <family val="0"/>
      <charset val="1"/>
    </font>
    <font>
      <b val="true"/>
      <sz val="11"/>
      <color rgb="FF173F31"/>
      <name val="Arial"/>
      <family val="0"/>
      <charset val="1"/>
    </font>
    <font>
      <b val="true"/>
      <sz val="9"/>
      <color rgb="FFFFFFFF"/>
      <name val="Arial"/>
      <family val="0"/>
      <charset val="1"/>
    </font>
    <font>
      <b val="true"/>
      <sz val="9"/>
      <color rgb="FF8E1B12"/>
      <name val="Arial"/>
      <family val="0"/>
      <charset val="1"/>
    </font>
    <font>
      <b val="true"/>
      <sz val="9"/>
      <color rgb="FF1B4778"/>
      <name val="Arial"/>
      <family val="0"/>
      <charset val="1"/>
    </font>
    <font>
      <b val="true"/>
      <sz val="9"/>
      <color rgb="FF7A4200"/>
      <name val="Arial"/>
      <family val="0"/>
      <charset val="1"/>
    </font>
    <font>
      <sz val="9"/>
      <color rgb="FF525A54"/>
      <name val="Arial"/>
      <family val="0"/>
      <charset val="1"/>
    </font>
    <font>
      <b val="true"/>
      <sz val="9"/>
      <color rgb="FF525A54"/>
      <name val="Arial"/>
      <family val="0"/>
      <charset val="1"/>
    </font>
    <font>
      <b val="true"/>
      <sz val="12"/>
      <color rgb="FFFFFFFF"/>
      <name val="Arial"/>
      <family val="0"/>
      <charset val="1"/>
    </font>
    <font>
      <b val="true"/>
      <sz val="9"/>
      <color rgb="FF353B37"/>
      <name val="Arial"/>
      <family val="0"/>
      <charset val="1"/>
    </font>
    <font>
      <b val="true"/>
      <sz val="12"/>
      <color rgb="FF1C211E"/>
      <name val="Arial"/>
      <family val="0"/>
      <charset val="1"/>
    </font>
    <font>
      <sz val="10"/>
      <color rgb="FF353B37"/>
      <name val="Arial"/>
      <family val="0"/>
      <charset val="1"/>
    </font>
    <font>
      <b val="true"/>
      <sz val="11"/>
      <color rgb="FFFFFFFF"/>
      <name val="Arial"/>
      <family val="0"/>
      <charset val="1"/>
    </font>
    <font>
      <sz val="9"/>
      <color rgb="FF353B37"/>
      <name val="Arial"/>
      <family val="0"/>
      <charset val="1"/>
    </font>
    <font>
      <b val="true"/>
      <sz val="9"/>
      <color rgb="FF1C211E"/>
      <name val="Arial"/>
      <family val="0"/>
      <charset val="1"/>
    </font>
    <font>
      <sz val="9"/>
      <color rgb="FF1C211E"/>
      <name val="Arial"/>
      <family val="0"/>
      <charset val="1"/>
    </font>
    <font>
      <sz val="8"/>
      <color rgb="FF525A54"/>
      <name val="Arial"/>
      <family val="0"/>
      <charset val="1"/>
    </font>
    <font>
      <i val="true"/>
      <sz val="8"/>
      <color rgb="FF7A7F7B"/>
      <name val="Arial"/>
      <family val="0"/>
      <charset val="1"/>
    </font>
    <font>
      <sz val="8"/>
      <color rgb="FF7A7F7B"/>
      <name val="Arial"/>
      <family val="0"/>
      <charset val="1"/>
    </font>
    <font>
      <b val="true"/>
      <sz val="10"/>
      <color rgb="FF1C211E"/>
      <name val="Arial"/>
      <family val="0"/>
      <charset val="1"/>
    </font>
    <font>
      <b val="true"/>
      <sz val="9"/>
      <color rgb="FF1E5B45"/>
      <name val="Arial"/>
      <family val="0"/>
      <charset val="1"/>
    </font>
    <font>
      <sz val="8.5"/>
      <color rgb="FF1C211E"/>
      <name val="Arial"/>
      <family val="0"/>
      <charset val="1"/>
    </font>
    <font>
      <i val="true"/>
      <sz val="8"/>
      <color rgb="FF525A54"/>
      <name val="Arial"/>
      <family val="0"/>
      <charset val="1"/>
    </font>
  </fonts>
  <fills count="15">
    <fill>
      <patternFill patternType="none"/>
    </fill>
    <fill>
      <patternFill patternType="gray125"/>
    </fill>
    <fill>
      <patternFill patternType="solid">
        <fgColor rgb="FFFFF8DB"/>
        <bgColor rgb="FFFFFBEF"/>
      </patternFill>
    </fill>
    <fill>
      <patternFill patternType="solid">
        <fgColor rgb="FFEEF1EC"/>
        <bgColor rgb="FFF0F2EE"/>
      </patternFill>
    </fill>
    <fill>
      <patternFill patternType="solid">
        <fgColor rgb="FF5B635D"/>
        <bgColor rgb="FF525A54"/>
      </patternFill>
    </fill>
    <fill>
      <patternFill patternType="solid">
        <fgColor rgb="FF9B1C1C"/>
        <bgColor rgb="FF8E1B12"/>
      </patternFill>
    </fill>
    <fill>
      <patternFill patternType="solid">
        <fgColor rgb="FFB45309"/>
        <bgColor rgb="FF7A4200"/>
      </patternFill>
    </fill>
    <fill>
      <patternFill patternType="solid">
        <fgColor rgb="FF1E5B45"/>
        <bgColor rgb="FF173F31"/>
      </patternFill>
    </fill>
    <fill>
      <patternFill patternType="solid">
        <fgColor rgb="FFFBE4E1"/>
        <bgColor rgb="FFFCEFD9"/>
      </patternFill>
    </fill>
    <fill>
      <patternFill patternType="solid">
        <fgColor rgb="FFE3EEFA"/>
        <bgColor rgb="FFE2EEE7"/>
      </patternFill>
    </fill>
    <fill>
      <patternFill patternType="solid">
        <fgColor rgb="FFFCEFD9"/>
        <bgColor rgb="FFFFF8DB"/>
      </patternFill>
    </fill>
    <fill>
      <patternFill patternType="solid">
        <fgColor rgb="FFFAFBF9"/>
        <bgColor rgb="FFFAFAF7"/>
      </patternFill>
    </fill>
    <fill>
      <patternFill patternType="solid">
        <fgColor rgb="FFF0F2EE"/>
        <bgColor rgb="FFEEF1EC"/>
      </patternFill>
    </fill>
    <fill>
      <patternFill patternType="solid">
        <fgColor rgb="FFFAFAF7"/>
        <bgColor rgb="FFFAFBF9"/>
      </patternFill>
    </fill>
    <fill>
      <patternFill patternType="solid">
        <fgColor rgb="FFFFFBEF"/>
        <bgColor rgb="FFFAFAF7"/>
      </patternFill>
    </fill>
  </fills>
  <borders count="6">
    <border diagonalUp="false" diagonalDown="false">
      <left/>
      <right/>
      <top/>
      <bottom/>
      <diagonal/>
    </border>
    <border diagonalUp="false" diagonalDown="false">
      <left style="thin">
        <color rgb="FFD5DAD2"/>
      </left>
      <right style="thin">
        <color rgb="FFD5DAD2"/>
      </right>
      <top style="thin">
        <color rgb="FFD5DAD2"/>
      </top>
      <bottom style="thin">
        <color rgb="FFD5DAD2"/>
      </bottom>
      <diagonal/>
    </border>
    <border diagonalUp="false" diagonalDown="false">
      <left style="thin">
        <color rgb="FFD5DAD2"/>
      </left>
      <right/>
      <top style="thin">
        <color rgb="FFD5DAD2"/>
      </top>
      <bottom style="thin">
        <color rgb="FFD5DAD2"/>
      </bottom>
      <diagonal/>
    </border>
    <border diagonalUp="false" diagonalDown="false">
      <left/>
      <right/>
      <top/>
      <bottom style="medium">
        <color rgb="FF173F31"/>
      </bottom>
      <diagonal/>
    </border>
    <border diagonalUp="false" diagonalDown="false">
      <left/>
      <right/>
      <top/>
      <bottom style="thin">
        <color rgb="FFD5DAD2"/>
      </bottom>
      <diagonal/>
    </border>
    <border diagonalUp="false" diagonalDown="false">
      <left/>
      <right/>
      <top/>
      <bottom style="hair">
        <color rgb="FFD5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9" fillId="7" borderId="0" xfId="0" applyFont="true" applyBorder="false" applyAlignment="true" applyProtection="false">
      <alignment horizontal="general" vertical="center" textRotation="0" wrapText="tru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4" fontId="12" fillId="1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5" fontId="17" fillId="0" borderId="0"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9" fillId="7" borderId="0" xfId="0" applyFont="true" applyBorder="true" applyAlignment="true" applyProtection="false">
      <alignment horizontal="general" vertical="center" textRotation="0" wrapText="true" indent="0" shrinkToFit="false"/>
      <protection locked="true" hidden="false"/>
    </xf>
    <xf numFmtId="164" fontId="20" fillId="11"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6" fontId="7" fillId="2" borderId="1" xfId="0" applyFont="true" applyBorder="true" applyAlignment="true" applyProtection="false">
      <alignment horizontal="general" vertical="center" textRotation="0" wrapText="true" indent="0" shrinkToFit="false"/>
      <protection locked="true" hidden="false"/>
    </xf>
    <xf numFmtId="167" fontId="7" fillId="2" borderId="1" xfId="0" applyFont="true" applyBorder="true" applyAlignment="true" applyProtection="false">
      <alignment horizontal="general" vertical="center" textRotation="0" wrapText="true" indent="0" shrinkToFit="false"/>
      <protection locked="true" hidden="false"/>
    </xf>
    <xf numFmtId="164" fontId="21" fillId="1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7" fontId="22" fillId="3" borderId="1" xfId="0" applyFont="true" applyBorder="true" applyAlignment="false" applyProtection="false">
      <alignment horizontal="general" vertical="bottom" textRotation="0" wrapText="false" indent="0" shrinkToFit="false"/>
      <protection locked="true" hidden="false"/>
    </xf>
    <xf numFmtId="167" fontId="22" fillId="2" borderId="1" xfId="0" applyFont="true" applyBorder="true" applyAlignment="false" applyProtection="false">
      <alignment horizontal="general" vertical="bottom" textRotation="0" wrapText="false" indent="0" shrinkToFit="false"/>
      <protection locked="true" hidden="false"/>
    </xf>
    <xf numFmtId="168" fontId="22"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9" fontId="22" fillId="3"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center" vertical="bottom" textRotation="0" wrapText="fals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65" fontId="22"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24" fillId="13" borderId="1" xfId="0" applyFont="true" applyBorder="true" applyAlignment="false" applyProtection="false">
      <alignment horizontal="general" vertical="bottom" textRotation="0" wrapText="false" indent="0" shrinkToFit="false"/>
      <protection locked="true" hidden="false"/>
    </xf>
    <xf numFmtId="170" fontId="24" fillId="13"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71" fontId="22" fillId="2" borderId="1" xfId="0" applyFont="true" applyBorder="true" applyAlignment="false" applyProtection="false">
      <alignment horizontal="general" vertical="bottom" textRotation="0" wrapText="false" indent="0" shrinkToFit="false"/>
      <protection locked="true" hidden="false"/>
    </xf>
    <xf numFmtId="172" fontId="22" fillId="2" borderId="1" xfId="0" applyFont="true" applyBorder="true" applyAlignment="false" applyProtection="false">
      <alignment horizontal="general" vertical="bottom" textRotation="0" wrapText="false" indent="0" shrinkToFit="false"/>
      <protection locked="true" hidden="false"/>
    </xf>
    <xf numFmtId="170" fontId="22" fillId="2" borderId="1" xfId="0" applyFont="true" applyBorder="true" applyAlignment="false" applyProtection="false">
      <alignment horizontal="general" vertical="bottom" textRotation="0" wrapText="false" indent="0" shrinkToFit="false"/>
      <protection locked="true" hidden="false"/>
    </xf>
    <xf numFmtId="164" fontId="26" fillId="14" borderId="1" xfId="0" applyFont="true" applyBorder="true" applyAlignment="false" applyProtection="false">
      <alignment horizontal="general" vertical="bottom" textRotation="0" wrapText="false" indent="0" shrinkToFit="false"/>
      <protection locked="true" hidden="false"/>
    </xf>
    <xf numFmtId="165" fontId="26" fillId="14" borderId="1" xfId="0" applyFont="tru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5" fontId="26" fillId="3" borderId="1" xfId="0" applyFont="true" applyBorder="true" applyAlignment="false" applyProtection="false">
      <alignment horizontal="general" vertical="bottom" textRotation="0" wrapText="false" indent="0" shrinkToFit="false"/>
      <protection locked="true" hidden="false"/>
    </xf>
    <xf numFmtId="173" fontId="26"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top" textRotation="0" wrapText="true" indent="0" shrinkToFit="false"/>
      <protection locked="true" hidden="false"/>
    </xf>
    <xf numFmtId="164" fontId="26" fillId="14" borderId="4" xfId="0" applyFont="true" applyBorder="true" applyAlignment="false" applyProtection="false">
      <alignment horizontal="general" vertical="bottom" textRotation="0" wrapText="false" indent="0" shrinkToFit="false"/>
      <protection locked="true" hidden="false"/>
    </xf>
    <xf numFmtId="165" fontId="26" fillId="14" borderId="4" xfId="0" applyFont="true" applyBorder="true" applyAlignment="true" applyProtection="false">
      <alignment horizontal="right" vertical="bottom" textRotation="0" wrapText="false" indent="0" shrinkToFit="false"/>
      <protection locked="true" hidden="false"/>
    </xf>
    <xf numFmtId="164" fontId="23" fillId="14" borderId="4"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5" fontId="26" fillId="0" borderId="4" xfId="0" applyFont="true" applyBorder="true" applyAlignment="true" applyProtection="false">
      <alignment horizontal="right" vertical="bottom" textRotation="0" wrapText="false" indent="0" shrinkToFit="false"/>
      <protection locked="true" hidden="false"/>
    </xf>
    <xf numFmtId="164" fontId="23" fillId="0" borderId="4" xfId="0" applyFont="true" applyBorder="true" applyAlignment="true" applyProtection="false">
      <alignment horizontal="general" vertical="top" textRotation="0" wrapText="true" indent="0" shrinkToFit="false"/>
      <protection locked="true" hidden="false"/>
    </xf>
    <xf numFmtId="174" fontId="26" fillId="0" borderId="4" xfId="0" applyFont="true" applyBorder="true" applyAlignment="true" applyProtection="false">
      <alignment horizontal="right" vertical="bottom" textRotation="0" wrapText="false" indent="0" shrinkToFit="false"/>
      <protection locked="true" hidden="false"/>
    </xf>
    <xf numFmtId="164" fontId="21" fillId="12" borderId="0"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false" applyProtection="false">
      <alignment horizontal="general" vertical="bottom" textRotation="0" wrapText="false" indent="0" shrinkToFit="false"/>
      <protection locked="true" hidden="false"/>
    </xf>
    <xf numFmtId="164" fontId="22" fillId="0" borderId="5" xfId="0" applyFont="true" applyBorder="true" applyAlignment="false" applyProtection="false">
      <alignment horizontal="general" vertical="bottom" textRotation="0" wrapText="false" indent="0" shrinkToFit="false"/>
      <protection locked="true" hidden="false"/>
    </xf>
    <xf numFmtId="165" fontId="22" fillId="0" borderId="5"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5" fontId="28"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8E1B12"/>
      </font>
      <fill>
        <patternFill>
          <bgColor rgb="FFFBE4E1"/>
        </patternFill>
      </fill>
    </dxf>
    <dxf>
      <font>
        <name val="Arial"/>
        <charset val="1"/>
        <family val="0"/>
        <b val="1"/>
        <color rgb="FF7A4200"/>
      </font>
      <fill>
        <patternFill>
          <bgColor rgb="FFFCEFD9"/>
        </patternFill>
      </fill>
    </dxf>
    <dxf>
      <font>
        <name val="Arial"/>
        <charset val="1"/>
        <family val="0"/>
        <b val="1"/>
        <color rgb="FF1B4778"/>
      </font>
      <fill>
        <patternFill>
          <bgColor rgb="FFE3EEFA"/>
        </patternFill>
      </fill>
    </dxf>
    <dxf>
      <fill>
        <patternFill>
          <bgColor rgb="FF1E5B45"/>
        </patternFill>
      </fill>
    </dxf>
    <dxf>
      <fill>
        <patternFill>
          <bgColor rgb="FF9B1C1C"/>
        </patternFill>
      </fill>
    </dxf>
    <dxf>
      <fill>
        <patternFill>
          <bgColor rgb="FFB45309"/>
        </patternFill>
      </fill>
    </dxf>
    <dxf>
      <font>
        <name val="Arial"/>
        <charset val="1"/>
        <family val="0"/>
        <b val="1"/>
        <color rgb="FF173F31"/>
      </font>
      <fill>
        <patternFill>
          <bgColor rgb="FFE2EEE7"/>
        </patternFill>
      </fill>
    </dxf>
    <dxf>
      <fill>
        <patternFill>
          <bgColor rgb="FFFBE4E1"/>
        </patternFill>
      </fill>
    </dxf>
    <dxf>
      <fill>
        <patternFill>
          <bgColor rgb="FFE3EEFA"/>
        </patternFill>
      </fill>
    </dxf>
    <dxf>
      <fill>
        <patternFill>
          <bgColor rgb="FFFCEFD9"/>
        </patternFill>
      </fill>
    </dxf>
  </dxfs>
  <colors>
    <indexedColors>
      <rgbColor rgb="FF000000"/>
      <rgbColor rgb="FFFFFFFF"/>
      <rgbColor rgb="FFFF0000"/>
      <rgbColor rgb="FF00FF00"/>
      <rgbColor rgb="FF0000FF"/>
      <rgbColor rgb="FFFFFF00"/>
      <rgbColor rgb="FFFF00FF"/>
      <rgbColor rgb="FF00FFFF"/>
      <rgbColor rgb="FF8E1B12"/>
      <rgbColor rgb="FF008000"/>
      <rgbColor rgb="FF000080"/>
      <rgbColor rgb="FF808000"/>
      <rgbColor rgb="FF800080"/>
      <rgbColor rgb="FF1E5B45"/>
      <rgbColor rgb="FFF0F2EE"/>
      <rgbColor rgb="FF7A7F7B"/>
      <rgbColor rgb="FF9999FF"/>
      <rgbColor rgb="FF7A4200"/>
      <rgbColor rgb="FFFFF8DB"/>
      <rgbColor rgb="FFE3EEFA"/>
      <rgbColor rgb="FF660066"/>
      <rgbColor rgb="FFFF8080"/>
      <rgbColor rgb="FF0066CC"/>
      <rgbColor rgb="FFD5DAD2"/>
      <rgbColor rgb="FF000080"/>
      <rgbColor rgb="FFFF00FF"/>
      <rgbColor rgb="FFFFFF00"/>
      <rgbColor rgb="FF00FFFF"/>
      <rgbColor rgb="FF800080"/>
      <rgbColor rgb="FF800000"/>
      <rgbColor rgb="FF008080"/>
      <rgbColor rgb="FF0000FF"/>
      <rgbColor rgb="FF00CCFF"/>
      <rgbColor rgb="FFE2EEE7"/>
      <rgbColor rgb="FFEEF1EC"/>
      <rgbColor rgb="FFFCEFD9"/>
      <rgbColor rgb="FFFAFAF7"/>
      <rgbColor rgb="FFFFFBEF"/>
      <rgbColor rgb="FFFAFBF9"/>
      <rgbColor rgb="FFFBE4E1"/>
      <rgbColor rgb="FF3366FF"/>
      <rgbColor rgb="FF33CCCC"/>
      <rgbColor rgb="FF99CC00"/>
      <rgbColor rgb="FFFFCC00"/>
      <rgbColor rgb="FFFF9900"/>
      <rgbColor rgb="FFFF6600"/>
      <rgbColor rgb="FF5B635D"/>
      <rgbColor rgb="FF8A9A8F"/>
      <rgbColor rgb="FF1B4778"/>
      <rgbColor rgb="FF339966"/>
      <rgbColor rgb="FF173F31"/>
      <rgbColor rgb="FF1C211E"/>
      <rgbColor rgb="FF9B1C1C"/>
      <rgbColor rgb="FFB45309"/>
      <rgbColor rgb="FF525A54"/>
      <rgbColor rgb="FF353B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57.75" hidden="false" customHeight="true" outlineLevel="0" collapsed="false">
      <c r="B5" s="3" t="s">
        <v>2</v>
      </c>
      <c r="C5" s="4" t="s">
        <v>3</v>
      </c>
    </row>
    <row r="6" customFormat="false" ht="57.75" hidden="false" customHeight="true" outlineLevel="0" collapsed="false">
      <c r="B6" s="3" t="s">
        <v>4</v>
      </c>
      <c r="C6" s="4" t="s">
        <v>5</v>
      </c>
    </row>
    <row r="7" customFormat="false" ht="57.75" hidden="false" customHeight="true" outlineLevel="0" collapsed="false">
      <c r="B7" s="3" t="s">
        <v>6</v>
      </c>
      <c r="C7" s="4" t="s">
        <v>7</v>
      </c>
    </row>
    <row r="8" customFormat="false" ht="57.75" hidden="false" customHeight="true" outlineLevel="0" collapsed="false">
      <c r="B8" s="3" t="s">
        <v>8</v>
      </c>
      <c r="C8" s="4" t="s">
        <v>9</v>
      </c>
    </row>
    <row r="9" customFormat="false" ht="57.75" hidden="false" customHeight="true" outlineLevel="0" collapsed="false">
      <c r="B9" s="3" t="s">
        <v>10</v>
      </c>
      <c r="C9" s="4" t="s">
        <v>11</v>
      </c>
    </row>
    <row r="11" customFormat="false" ht="15" hidden="false" customHeight="false" outlineLevel="0" collapsed="false">
      <c r="B11" s="5" t="s">
        <v>12</v>
      </c>
    </row>
    <row r="12" customFormat="false" ht="15" hidden="false" customHeight="false" outlineLevel="0" collapsed="false">
      <c r="B12" s="6" t="s">
        <v>13</v>
      </c>
      <c r="C12" s="7" t="s">
        <v>14</v>
      </c>
    </row>
    <row r="13" customFormat="false" ht="15" hidden="false" customHeight="false" outlineLevel="0" collapsed="false">
      <c r="B13" s="8" t="s">
        <v>15</v>
      </c>
      <c r="C13" s="7" t="s">
        <v>16</v>
      </c>
    </row>
    <row r="15" customFormat="false" ht="15" hidden="false" customHeight="false" outlineLevel="0" collapsed="false">
      <c r="B15" s="5" t="s">
        <v>17</v>
      </c>
    </row>
    <row r="16" customFormat="false" ht="30" hidden="false" customHeight="true" outlineLevel="0" collapsed="false">
      <c r="B16" s="9" t="s">
        <v>18</v>
      </c>
      <c r="C16" s="4" t="s">
        <v>19</v>
      </c>
    </row>
    <row r="17" customFormat="false" ht="30" hidden="false" customHeight="true" outlineLevel="0" collapsed="false">
      <c r="B17" s="10" t="s">
        <v>20</v>
      </c>
      <c r="C17" s="4" t="s">
        <v>21</v>
      </c>
    </row>
    <row r="18" customFormat="false" ht="30" hidden="false" customHeight="true" outlineLevel="0" collapsed="false">
      <c r="B18" s="11" t="s">
        <v>22</v>
      </c>
      <c r="C18" s="4" t="s">
        <v>23</v>
      </c>
    </row>
    <row r="19" customFormat="false" ht="30" hidden="false" customHeight="true" outlineLevel="0" collapsed="false">
      <c r="B19" s="12" t="s">
        <v>24</v>
      </c>
      <c r="C19" s="4" t="s">
        <v>25</v>
      </c>
    </row>
    <row r="21" customFormat="false" ht="15" hidden="false" customHeight="false" outlineLevel="0" collapsed="false">
      <c r="B21" s="5" t="s">
        <v>26</v>
      </c>
    </row>
    <row r="22" customFormat="false" ht="15" hidden="false" customHeight="false" outlineLevel="0" collapsed="false">
      <c r="B22" s="13" t="s">
        <v>27</v>
      </c>
      <c r="C22" s="7" t="s">
        <v>28</v>
      </c>
    </row>
    <row r="23" customFormat="false" ht="15" hidden="false" customHeight="false" outlineLevel="0" collapsed="false">
      <c r="B23" s="14" t="s">
        <v>29</v>
      </c>
      <c r="C23" s="7" t="s">
        <v>30</v>
      </c>
    </row>
    <row r="24" customFormat="false" ht="15" hidden="false" customHeight="false" outlineLevel="0" collapsed="false">
      <c r="B24" s="15" t="s">
        <v>31</v>
      </c>
      <c r="C24" s="7" t="s">
        <v>32</v>
      </c>
    </row>
    <row r="26" customFormat="false" ht="15" hidden="false" customHeight="false" outlineLevel="0" collapsed="false">
      <c r="B26" s="5" t="s">
        <v>33</v>
      </c>
    </row>
    <row r="27" customFormat="false" ht="31.5" hidden="false" customHeight="true" outlineLevel="0" collapsed="false">
      <c r="B27" s="16" t="s">
        <v>34</v>
      </c>
      <c r="C27" s="4" t="s">
        <v>35</v>
      </c>
    </row>
    <row r="28" customFormat="false" ht="31.5" hidden="false" customHeight="true" outlineLevel="0" collapsed="false">
      <c r="B28" s="16" t="s">
        <v>34</v>
      </c>
      <c r="C28" s="4" t="s">
        <v>36</v>
      </c>
    </row>
    <row r="29" customFormat="false" ht="31.5" hidden="false" customHeight="true" outlineLevel="0" collapsed="false">
      <c r="B29" s="16" t="s">
        <v>34</v>
      </c>
      <c r="C29" s="4" t="s">
        <v>37</v>
      </c>
    </row>
    <row r="30" customFormat="false" ht="31.5" hidden="false" customHeight="true" outlineLevel="0" collapsed="false">
      <c r="B30" s="16" t="s">
        <v>34</v>
      </c>
      <c r="C30" s="4" t="s">
        <v>38</v>
      </c>
    </row>
    <row r="31" customFormat="false" ht="31.5" hidden="false" customHeight="true" outlineLevel="0" collapsed="false">
      <c r="B31" s="16" t="s">
        <v>34</v>
      </c>
      <c r="C31" s="4" t="s">
        <v>39</v>
      </c>
    </row>
    <row r="32" customFormat="false" ht="31.5" hidden="false" customHeight="true" outlineLevel="0" collapsed="false">
      <c r="B32" s="16" t="s">
        <v>34</v>
      </c>
      <c r="C32" s="4" t="s">
        <v>40</v>
      </c>
    </row>
    <row r="33" customFormat="false" ht="31.5" hidden="false" customHeight="true" outlineLevel="0" collapsed="false">
      <c r="B33" s="16" t="s">
        <v>34</v>
      </c>
      <c r="C33" s="4" t="s">
        <v>41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B45"/>
    <pageSetUpPr fitToPage="true"/>
  </sheetPr>
  <dimension ref="A1:R14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0"/>
    <col collapsed="false" customWidth="true" hidden="false" outlineLevel="0" max="3" min="3" style="0" width="25"/>
    <col collapsed="false" customWidth="true" hidden="false" outlineLevel="0" max="4" min="4" style="0" width="17"/>
    <col collapsed="false" customWidth="true" hidden="false" outlineLevel="0" max="5" min="5" style="0" width="10"/>
    <col collapsed="false" customWidth="true" hidden="false" outlineLevel="0" max="6" min="6" style="0" width="7"/>
    <col collapsed="false" customWidth="true" hidden="false" outlineLevel="0" max="7" min="7" style="0" width="12"/>
    <col collapsed="false" customWidth="true" hidden="false" outlineLevel="0" max="8" min="8" style="0" width="9"/>
    <col collapsed="false" customWidth="true" hidden="false" outlineLevel="0" max="10" min="9" style="0" width="10"/>
    <col collapsed="false" customWidth="true" hidden="false" outlineLevel="0" max="11" min="11" style="0" width="8"/>
    <col collapsed="false" customWidth="true" hidden="false" outlineLevel="0" max="12" min="12" style="0" width="12"/>
    <col collapsed="false" customWidth="true" hidden="false" outlineLevel="0" max="13" min="13" style="0" width="10"/>
    <col collapsed="false" customWidth="true" hidden="false" outlineLevel="0" max="14" min="14" style="0" width="22"/>
    <col collapsed="false" customWidth="true" hidden="false" outlineLevel="0" max="15" min="15" style="0" width="26"/>
    <col collapsed="false" customWidth="true" hidden="false" outlineLevel="0" max="16" min="16" style="0" width="14"/>
    <col collapsed="false" customWidth="true" hidden="false" outlineLevel="0" max="17" min="17" style="0" width="36"/>
    <col collapsed="false" customWidth="true" hidden="false" outlineLevel="0" max="18" min="18" style="0" width="13"/>
  </cols>
  <sheetData>
    <row r="1" customFormat="false" ht="19.7" hidden="false" customHeight="false" outlineLevel="0" collapsed="false">
      <c r="B1" s="1" t="s">
        <v>42</v>
      </c>
    </row>
    <row r="2" customFormat="false" ht="15" hidden="false" customHeight="false" outlineLevel="0" collapsed="false">
      <c r="B2" s="17" t="s">
        <v>43</v>
      </c>
    </row>
    <row r="3" customFormat="false" ht="25.5" hidden="false" customHeight="true" outlineLevel="0" collapsed="false">
      <c r="B3" s="18" t="s">
        <v>44</v>
      </c>
      <c r="C3" s="19" t="str">
        <f aca="false">Checks!$AF$2</f>
        <v>Not started</v>
      </c>
      <c r="D3" s="19"/>
      <c r="E3" s="19"/>
      <c r="F3" s="19"/>
      <c r="G3" s="20" t="str">
        <f aca="false">Checks!$AF$20</f>
        <v>Known Firm Charges — Not All-In</v>
      </c>
      <c r="H3" s="20"/>
      <c r="I3" s="20"/>
      <c r="J3" s="21" t="n">
        <f aca="false">Checks!$AF$10</f>
        <v>0</v>
      </c>
      <c r="K3" s="21"/>
      <c r="L3" s="22" t="str">
        <f aca="false">Checks!$AF$3&amp;" errors · "&amp;Checks!$AF$4&amp;" questions · "&amp;Checks!$AF$5&amp;" risks  —  see section 5"</f>
        <v>0 errors · 0 questions · 0 risks  —  see section 5</v>
      </c>
      <c r="M3" s="22"/>
      <c r="N3" s="22"/>
      <c r="O3" s="22"/>
      <c r="P3" s="22"/>
      <c r="Q3" s="22"/>
    </row>
    <row r="5" customFormat="false" ht="21.75" hidden="false" customHeight="true" outlineLevel="0" collapsed="false">
      <c r="B5" s="23" t="s">
        <v>45</v>
      </c>
      <c r="C5" s="23"/>
      <c r="D5" s="23"/>
      <c r="E5" s="23"/>
      <c r="F5" s="23"/>
      <c r="G5" s="23"/>
      <c r="H5" s="23"/>
      <c r="I5" s="23"/>
      <c r="J5" s="23"/>
      <c r="K5" s="23"/>
      <c r="L5" s="23"/>
      <c r="M5" s="23"/>
      <c r="N5" s="23"/>
      <c r="O5" s="23"/>
      <c r="P5" s="23"/>
      <c r="Q5" s="23"/>
    </row>
    <row r="6" customFormat="false" ht="15" hidden="false" customHeight="true" outlineLevel="0" collapsed="false">
      <c r="B6" s="24" t="s">
        <v>46</v>
      </c>
      <c r="C6" s="25"/>
      <c r="D6" s="25"/>
      <c r="E6" s="25"/>
      <c r="G6" s="24" t="s">
        <v>47</v>
      </c>
      <c r="H6" s="24"/>
      <c r="I6" s="24"/>
      <c r="J6" s="26"/>
      <c r="K6" s="26"/>
      <c r="L6" s="26"/>
      <c r="M6" s="26"/>
      <c r="N6" s="26"/>
    </row>
    <row r="7" customFormat="false" ht="15" hidden="false" customHeight="true" outlineLevel="0" collapsed="false">
      <c r="B7" s="24" t="s">
        <v>48</v>
      </c>
      <c r="C7" s="25"/>
      <c r="D7" s="25"/>
      <c r="E7" s="25"/>
      <c r="G7" s="24" t="s">
        <v>49</v>
      </c>
      <c r="H7" s="24"/>
      <c r="I7" s="24"/>
      <c r="J7" s="25"/>
      <c r="K7" s="25"/>
      <c r="L7" s="25"/>
      <c r="M7" s="25"/>
      <c r="N7" s="25"/>
    </row>
    <row r="8" customFormat="false" ht="15" hidden="false" customHeight="true" outlineLevel="0" collapsed="false">
      <c r="B8" s="24" t="s">
        <v>50</v>
      </c>
      <c r="C8" s="25"/>
      <c r="D8" s="25"/>
      <c r="E8" s="25"/>
      <c r="G8" s="24" t="s">
        <v>51</v>
      </c>
      <c r="H8" s="24"/>
      <c r="I8" s="24"/>
      <c r="J8" s="25"/>
      <c r="K8" s="25"/>
      <c r="L8" s="25"/>
      <c r="M8" s="25"/>
      <c r="N8" s="25"/>
    </row>
    <row r="9" customFormat="false" ht="15" hidden="false" customHeight="true" outlineLevel="0" collapsed="false">
      <c r="B9" s="24" t="s">
        <v>52</v>
      </c>
      <c r="C9" s="25"/>
      <c r="D9" s="25"/>
      <c r="E9" s="25"/>
      <c r="G9" s="24" t="s">
        <v>53</v>
      </c>
      <c r="H9" s="24"/>
      <c r="I9" s="24"/>
      <c r="J9" s="25"/>
      <c r="K9" s="25"/>
      <c r="L9" s="25"/>
      <c r="M9" s="25"/>
      <c r="N9" s="25"/>
    </row>
    <row r="10" customFormat="false" ht="15" hidden="false" customHeight="true" outlineLevel="0" collapsed="false">
      <c r="B10" s="24" t="s">
        <v>54</v>
      </c>
      <c r="C10" s="25"/>
      <c r="D10" s="25"/>
      <c r="E10" s="25"/>
      <c r="G10" s="24" t="s">
        <v>55</v>
      </c>
      <c r="H10" s="24"/>
      <c r="I10" s="24"/>
      <c r="J10" s="25"/>
      <c r="K10" s="25"/>
      <c r="L10" s="25"/>
      <c r="M10" s="25"/>
      <c r="N10" s="25"/>
    </row>
    <row r="11" customFormat="false" ht="15" hidden="false" customHeight="true" outlineLevel="0" collapsed="false">
      <c r="B11" s="24" t="s">
        <v>56</v>
      </c>
      <c r="C11" s="26"/>
      <c r="D11" s="26"/>
      <c r="E11" s="26"/>
      <c r="G11" s="24" t="s">
        <v>57</v>
      </c>
      <c r="H11" s="24"/>
      <c r="I11" s="24"/>
      <c r="J11" s="25"/>
      <c r="K11" s="25"/>
      <c r="L11" s="25"/>
      <c r="M11" s="25"/>
      <c r="N11" s="25"/>
    </row>
    <row r="12" customFormat="false" ht="15" hidden="false" customHeight="true" outlineLevel="0" collapsed="false">
      <c r="B12" s="24" t="s">
        <v>58</v>
      </c>
      <c r="C12" s="25"/>
      <c r="D12" s="25"/>
      <c r="E12" s="25"/>
      <c r="G12" s="24" t="s">
        <v>59</v>
      </c>
      <c r="H12" s="24"/>
      <c r="I12" s="24"/>
      <c r="J12" s="27"/>
      <c r="K12" s="27"/>
      <c r="L12" s="27"/>
      <c r="M12" s="27"/>
      <c r="N12" s="27"/>
    </row>
    <row r="13" customFormat="false" ht="15" hidden="false" customHeight="true" outlineLevel="0" collapsed="false">
      <c r="B13" s="24" t="s">
        <v>60</v>
      </c>
      <c r="C13" s="25"/>
      <c r="D13" s="25"/>
      <c r="E13" s="25"/>
      <c r="G13" s="24" t="s">
        <v>61</v>
      </c>
      <c r="H13" s="24"/>
      <c r="I13" s="24"/>
      <c r="J13" s="27"/>
      <c r="K13" s="27"/>
      <c r="L13" s="27"/>
      <c r="M13" s="27"/>
      <c r="N13" s="27"/>
    </row>
    <row r="14" customFormat="false" ht="15" hidden="false" customHeight="true" outlineLevel="0" collapsed="false">
      <c r="B14" s="24" t="s">
        <v>62</v>
      </c>
      <c r="C14" s="27"/>
      <c r="D14" s="27"/>
      <c r="E14" s="27"/>
      <c r="G14" s="24" t="s">
        <v>63</v>
      </c>
      <c r="H14" s="24"/>
      <c r="I14" s="24"/>
      <c r="J14" s="27"/>
      <c r="K14" s="27"/>
      <c r="L14" s="27"/>
      <c r="M14" s="27"/>
      <c r="N14" s="27"/>
    </row>
    <row r="15" customFormat="false" ht="15" hidden="false" customHeight="true" outlineLevel="0" collapsed="false">
      <c r="B15" s="24" t="s">
        <v>64</v>
      </c>
      <c r="C15" s="27"/>
      <c r="D15" s="27"/>
      <c r="E15" s="27"/>
      <c r="G15" s="24" t="s">
        <v>65</v>
      </c>
      <c r="H15" s="24"/>
      <c r="I15" s="24"/>
      <c r="J15" s="27"/>
      <c r="K15" s="27"/>
      <c r="L15" s="27"/>
      <c r="M15" s="27"/>
      <c r="N15" s="27"/>
    </row>
    <row r="16" customFormat="false" ht="15" hidden="false" customHeight="true" outlineLevel="0" collapsed="false">
      <c r="B16" s="24" t="s">
        <v>66</v>
      </c>
      <c r="C16" s="25"/>
      <c r="D16" s="25"/>
      <c r="E16" s="25"/>
      <c r="G16" s="24" t="s">
        <v>67</v>
      </c>
      <c r="H16" s="24"/>
      <c r="I16" s="24"/>
      <c r="J16" s="25"/>
      <c r="K16" s="25"/>
      <c r="L16" s="25"/>
      <c r="M16" s="25"/>
      <c r="N16" s="25"/>
    </row>
    <row r="17" customFormat="false" ht="22.35" hidden="false" customHeight="true" outlineLevel="0" collapsed="false">
      <c r="B17" s="24" t="s">
        <v>68</v>
      </c>
      <c r="C17" s="25"/>
      <c r="D17" s="25"/>
      <c r="E17" s="25"/>
      <c r="G17" s="24" t="s">
        <v>69</v>
      </c>
      <c r="H17" s="24"/>
      <c r="I17" s="24"/>
      <c r="J17" s="25"/>
      <c r="K17" s="25"/>
      <c r="L17" s="25"/>
      <c r="M17" s="25"/>
      <c r="N17" s="25"/>
    </row>
    <row r="18" customFormat="false" ht="15" hidden="false" customHeight="true" outlineLevel="0" collapsed="false">
      <c r="B18" s="24" t="s">
        <v>70</v>
      </c>
      <c r="C18" s="25"/>
      <c r="D18" s="25"/>
      <c r="E18" s="25"/>
      <c r="G18" s="24" t="s">
        <v>71</v>
      </c>
      <c r="H18" s="24"/>
      <c r="I18" s="24"/>
      <c r="J18" s="25"/>
      <c r="K18" s="25"/>
      <c r="L18" s="25"/>
      <c r="M18" s="25"/>
      <c r="N18" s="25"/>
    </row>
    <row r="19" customFormat="false" ht="15" hidden="false" customHeight="true" outlineLevel="0" collapsed="false">
      <c r="B19" s="24" t="s">
        <v>72</v>
      </c>
      <c r="C19" s="25"/>
      <c r="D19" s="25"/>
      <c r="E19" s="25"/>
      <c r="G19" s="24" t="s">
        <v>73</v>
      </c>
      <c r="H19" s="24"/>
      <c r="I19" s="24"/>
      <c r="J19" s="25"/>
      <c r="K19" s="25"/>
      <c r="L19" s="25"/>
      <c r="M19" s="25"/>
      <c r="N19" s="25"/>
    </row>
    <row r="20" customFormat="false" ht="22.35" hidden="false" customHeight="true" outlineLevel="0" collapsed="false">
      <c r="B20" s="24" t="s">
        <v>74</v>
      </c>
      <c r="C20" s="25"/>
      <c r="D20" s="25"/>
      <c r="E20" s="25"/>
      <c r="G20" s="24" t="s">
        <v>75</v>
      </c>
      <c r="H20" s="24"/>
      <c r="I20" s="24"/>
      <c r="J20" s="25"/>
      <c r="K20" s="25"/>
      <c r="L20" s="25"/>
      <c r="M20" s="25"/>
      <c r="N20" s="25"/>
    </row>
    <row r="21" customFormat="false" ht="15" hidden="false" customHeight="true" outlineLevel="0" collapsed="false">
      <c r="B21" s="24" t="s">
        <v>76</v>
      </c>
      <c r="C21" s="25"/>
      <c r="D21" s="25"/>
      <c r="E21" s="25"/>
      <c r="G21" s="24" t="s">
        <v>77</v>
      </c>
      <c r="H21" s="24"/>
      <c r="I21" s="24"/>
      <c r="J21" s="25"/>
      <c r="K21" s="25"/>
      <c r="L21" s="25"/>
      <c r="M21" s="25"/>
      <c r="N21" s="25"/>
    </row>
    <row r="22" customFormat="false" ht="21.75" hidden="false" customHeight="true" outlineLevel="0" collapsed="false">
      <c r="B22" s="23" t="s">
        <v>78</v>
      </c>
      <c r="C22" s="23"/>
      <c r="D22" s="23"/>
      <c r="E22" s="23"/>
      <c r="F22" s="23"/>
      <c r="G22" s="23"/>
      <c r="H22" s="23"/>
      <c r="I22" s="23"/>
      <c r="J22" s="23"/>
      <c r="K22" s="23"/>
      <c r="L22" s="23"/>
      <c r="M22" s="23"/>
      <c r="N22" s="23"/>
      <c r="O22" s="23"/>
      <c r="P22" s="23"/>
      <c r="Q22" s="23"/>
    </row>
    <row r="23" customFormat="false" ht="15" hidden="false" customHeight="true" outlineLevel="0" collapsed="false">
      <c r="B23" s="24" t="s">
        <v>79</v>
      </c>
      <c r="C23" s="25"/>
      <c r="D23" s="25"/>
      <c r="E23" s="25"/>
      <c r="G23" s="24" t="s">
        <v>80</v>
      </c>
      <c r="H23" s="24"/>
      <c r="I23" s="24"/>
      <c r="J23" s="25"/>
      <c r="K23" s="25"/>
      <c r="L23" s="25"/>
      <c r="M23" s="25"/>
      <c r="N23" s="25"/>
    </row>
    <row r="24" customFormat="false" ht="15" hidden="false" customHeight="true" outlineLevel="0" collapsed="false">
      <c r="B24" s="24" t="s">
        <v>81</v>
      </c>
      <c r="C24" s="25"/>
      <c r="D24" s="25"/>
      <c r="E24" s="25"/>
      <c r="G24" s="24" t="s">
        <v>82</v>
      </c>
      <c r="H24" s="24"/>
      <c r="I24" s="24"/>
      <c r="J24" s="26"/>
      <c r="K24" s="26"/>
      <c r="L24" s="26"/>
      <c r="M24" s="26"/>
      <c r="N24" s="26"/>
    </row>
    <row r="25" customFormat="false" ht="15" hidden="false" customHeight="true" outlineLevel="0" collapsed="false">
      <c r="B25" s="24" t="s">
        <v>83</v>
      </c>
      <c r="C25" s="25"/>
      <c r="D25" s="25"/>
      <c r="E25" s="25"/>
      <c r="G25" s="24" t="s">
        <v>84</v>
      </c>
      <c r="H25" s="24"/>
      <c r="I25" s="24"/>
      <c r="J25" s="25"/>
      <c r="K25" s="25"/>
      <c r="L25" s="25"/>
      <c r="M25" s="25"/>
      <c r="N25" s="25"/>
    </row>
    <row r="26" customFormat="false" ht="15" hidden="false" customHeight="true" outlineLevel="0" collapsed="false">
      <c r="B26" s="24" t="s">
        <v>85</v>
      </c>
      <c r="C26" s="27"/>
      <c r="D26" s="27"/>
      <c r="E26" s="27"/>
      <c r="G26" s="24" t="s">
        <v>86</v>
      </c>
      <c r="H26" s="24"/>
      <c r="I26" s="24"/>
      <c r="J26" s="25"/>
      <c r="K26" s="25"/>
      <c r="L26" s="25"/>
      <c r="M26" s="25"/>
      <c r="N26" s="25"/>
    </row>
    <row r="27" customFormat="false" ht="15" hidden="false" customHeight="true" outlineLevel="0" collapsed="false">
      <c r="B27" s="24" t="s">
        <v>87</v>
      </c>
      <c r="C27" s="25"/>
      <c r="D27" s="25"/>
      <c r="E27" s="25"/>
      <c r="G27" s="24" t="s">
        <v>88</v>
      </c>
      <c r="H27" s="24"/>
      <c r="I27" s="24"/>
      <c r="J27" s="25"/>
      <c r="K27" s="25"/>
      <c r="L27" s="25"/>
      <c r="M27" s="25"/>
      <c r="N27" s="25"/>
    </row>
    <row r="28" customFormat="false" ht="15" hidden="false" customHeight="true" outlineLevel="0" collapsed="false">
      <c r="B28" s="24" t="s">
        <v>89</v>
      </c>
      <c r="C28" s="25"/>
      <c r="D28" s="25"/>
      <c r="E28" s="25"/>
      <c r="G28" s="24" t="s">
        <v>90</v>
      </c>
      <c r="H28" s="24"/>
      <c r="I28" s="24"/>
      <c r="J28" s="25"/>
      <c r="K28" s="25"/>
      <c r="L28" s="25"/>
      <c r="M28" s="25"/>
      <c r="N28" s="25"/>
    </row>
    <row r="29" customFormat="false" ht="15" hidden="false" customHeight="true" outlineLevel="0" collapsed="false">
      <c r="B29" s="24" t="s">
        <v>91</v>
      </c>
      <c r="C29" s="25"/>
      <c r="D29" s="25"/>
      <c r="E29" s="25"/>
      <c r="G29" s="24" t="s">
        <v>92</v>
      </c>
      <c r="H29" s="24"/>
      <c r="I29" s="24"/>
      <c r="J29" s="25"/>
      <c r="K29" s="25"/>
      <c r="L29" s="25"/>
      <c r="M29" s="25"/>
      <c r="N29" s="25"/>
    </row>
    <row r="30" customFormat="false" ht="15" hidden="false" customHeight="true" outlineLevel="0" collapsed="false">
      <c r="B30" s="24" t="s">
        <v>93</v>
      </c>
      <c r="C30" s="27"/>
      <c r="D30" s="27"/>
      <c r="E30" s="27"/>
      <c r="G30" s="24" t="s">
        <v>94</v>
      </c>
      <c r="H30" s="24"/>
      <c r="I30" s="24"/>
      <c r="J30" s="27"/>
      <c r="K30" s="27"/>
      <c r="L30" s="27"/>
      <c r="M30" s="27"/>
      <c r="N30" s="27"/>
    </row>
    <row r="31" customFormat="false" ht="15" hidden="false" customHeight="true" outlineLevel="0" collapsed="false">
      <c r="B31" s="24" t="s">
        <v>95</v>
      </c>
      <c r="C31" s="25"/>
      <c r="D31" s="25"/>
      <c r="E31" s="25"/>
      <c r="G31" s="24" t="s">
        <v>96</v>
      </c>
      <c r="H31" s="24"/>
      <c r="I31" s="24"/>
      <c r="J31" s="27"/>
      <c r="K31" s="27"/>
      <c r="L31" s="27"/>
      <c r="M31" s="27"/>
      <c r="N31" s="27"/>
    </row>
    <row r="32" customFormat="false" ht="15" hidden="false" customHeight="true" outlineLevel="0" collapsed="false">
      <c r="B32" s="24" t="s">
        <v>97</v>
      </c>
      <c r="C32" s="25"/>
      <c r="D32" s="25"/>
      <c r="E32" s="25"/>
      <c r="G32" s="24" t="s">
        <v>96</v>
      </c>
      <c r="H32" s="24"/>
      <c r="I32" s="24"/>
      <c r="J32" s="27"/>
      <c r="K32" s="27"/>
      <c r="L32" s="27"/>
      <c r="M32" s="27"/>
      <c r="N32" s="27"/>
    </row>
    <row r="33" customFormat="false" ht="27.75" hidden="false" customHeight="true" outlineLevel="0" collapsed="false">
      <c r="B33" s="24" t="s">
        <v>98</v>
      </c>
      <c r="C33" s="26"/>
      <c r="D33" s="26"/>
      <c r="E33" s="26"/>
      <c r="G33" s="24" t="s">
        <v>99</v>
      </c>
      <c r="H33" s="24"/>
      <c r="I33" s="24"/>
      <c r="J33" s="26"/>
      <c r="K33" s="26"/>
      <c r="L33" s="26"/>
      <c r="M33" s="26"/>
      <c r="N33" s="26"/>
    </row>
    <row r="34" customFormat="false" ht="22.35" hidden="false" customHeight="true" outlineLevel="0" collapsed="false">
      <c r="B34" s="28" t="s">
        <v>100</v>
      </c>
      <c r="C34" s="28" t="s">
        <v>101</v>
      </c>
      <c r="D34" s="28" t="s">
        <v>102</v>
      </c>
      <c r="E34" s="28" t="s">
        <v>103</v>
      </c>
      <c r="F34" s="28" t="s">
        <v>104</v>
      </c>
      <c r="G34" s="28" t="s">
        <v>105</v>
      </c>
      <c r="H34" s="28" t="s">
        <v>106</v>
      </c>
      <c r="I34" s="28"/>
      <c r="J34" s="28"/>
      <c r="K34" s="28"/>
      <c r="L34" s="28"/>
      <c r="M34" s="28"/>
      <c r="N34" s="28"/>
    </row>
    <row r="35" customFormat="false" ht="15" hidden="false" customHeight="false" outlineLevel="0" collapsed="false">
      <c r="B35" s="29" t="s">
        <v>61</v>
      </c>
      <c r="C35" s="30" t="str">
        <f aca="false">IF(Audit!$J$13="","",Audit!$J$13)</f>
        <v/>
      </c>
      <c r="D35" s="31"/>
      <c r="E35" s="30" t="str">
        <f aca="false">IF(OR(C35="",D35=""),"",D35-C35)</f>
        <v/>
      </c>
      <c r="F35" s="32" t="str">
        <f aca="false">IF(OR(C35="",D35="",C35=0),"",(D35-C35)/C35)</f>
        <v/>
      </c>
      <c r="G35" s="33" t="s">
        <v>107</v>
      </c>
      <c r="H35" s="33" t="str">
        <f aca="false">IF(D35="","Not stated in quotation",IF(C35="","CI/PL value missing",IF(D35=C35,"Matches","ERROR - does not match the CI/PL")))</f>
        <v>Not stated in quotation</v>
      </c>
      <c r="I35" s="33"/>
      <c r="J35" s="33"/>
      <c r="K35" s="33"/>
      <c r="L35" s="33"/>
      <c r="M35" s="33"/>
      <c r="N35" s="33"/>
    </row>
    <row r="36" customFormat="false" ht="15" hidden="false" customHeight="false" outlineLevel="0" collapsed="false">
      <c r="B36" s="29" t="s">
        <v>108</v>
      </c>
      <c r="C36" s="30" t="str">
        <f aca="false">IF(Audit!$C$14="","",Audit!$C$14&amp;" ctns / "&amp;IF(Audit!$J$14="","0",Audit!$J$14)&amp;" plts")</f>
        <v/>
      </c>
      <c r="D36" s="31"/>
      <c r="E36" s="30"/>
      <c r="F36" s="32"/>
      <c r="G36" s="33" t="s">
        <v>107</v>
      </c>
      <c r="H36" s="33" t="str">
        <f aca="false">IF(D36="","Not stated in quotation",IF(AND(Audit!$C$14="",Audit!$J$14=""),"CI/PL value missing",IF(D36=Audit!$C$14,"Matches cartons",IF(AND(ISNUMBER(Audit!$J$14),D36=Audit!$J$14),"Matches pallets","ERROR - matches neither cartons nor pallets"))))</f>
        <v>Not stated in quotation</v>
      </c>
      <c r="I36" s="33"/>
      <c r="J36" s="33"/>
      <c r="K36" s="33"/>
      <c r="L36" s="33"/>
      <c r="M36" s="33"/>
      <c r="N36" s="33"/>
    </row>
    <row r="37" customFormat="false" ht="15" hidden="false" customHeight="false" outlineLevel="0" collapsed="false">
      <c r="B37" s="29" t="s">
        <v>64</v>
      </c>
      <c r="C37" s="30" t="str">
        <f aca="false">IF(Audit!$C$15="","",Audit!$C$15)</f>
        <v/>
      </c>
      <c r="D37" s="31"/>
      <c r="E37" s="30" t="str">
        <f aca="false">IF(OR(C37="",D37=""),"",D37-C37)</f>
        <v/>
      </c>
      <c r="F37" s="32" t="str">
        <f aca="false">IF(OR(C37="",D37="",C37=0),"",(D37-C37)/C37)</f>
        <v/>
      </c>
      <c r="G37" s="34"/>
      <c r="H37" s="33" t="str">
        <f aca="false">IF(D37="","Not stated in quotation",IF(C37="","CI/PL value missing",IF(D37=C37,"Matches",IF(G37="Yes","Difference accepted by auditor","Review - differs by "&amp;TEXT(E37,"#,##0.###")&amp;" ("&amp;TEXT(F37,"0.0%")&amp;")"))))</f>
        <v>Not stated in quotation</v>
      </c>
      <c r="I37" s="33"/>
      <c r="J37" s="33"/>
      <c r="K37" s="33"/>
      <c r="L37" s="33"/>
      <c r="M37" s="33"/>
      <c r="N37" s="33"/>
    </row>
    <row r="38" customFormat="false" ht="15" hidden="false" customHeight="false" outlineLevel="0" collapsed="false">
      <c r="B38" s="29" t="s">
        <v>109</v>
      </c>
      <c r="C38" s="30" t="str">
        <f aca="false">IF(Audit!$J$15="","",Audit!$J$15)</f>
        <v/>
      </c>
      <c r="D38" s="31"/>
      <c r="E38" s="30" t="str">
        <f aca="false">IF(OR(C38="",D38=""),"",D38-C38)</f>
        <v/>
      </c>
      <c r="F38" s="32" t="str">
        <f aca="false">IF(OR(C38="",D38="",C38=0),"",(D38-C38)/C38)</f>
        <v/>
      </c>
      <c r="G38" s="34"/>
      <c r="H38" s="33" t="str">
        <f aca="false">IF(D38="","Not stated in quotation",IF(C38="","CI/PL value missing",IF(D38=C38,"Matches",IF(G38="Yes","Difference accepted by auditor","Review - differs by "&amp;TEXT(E38,"#,##0.###")&amp;" ("&amp;TEXT(F38,"0.0%")&amp;")"))))</f>
        <v>Not stated in quotation</v>
      </c>
      <c r="I38" s="33"/>
      <c r="J38" s="33"/>
      <c r="K38" s="33"/>
      <c r="L38" s="33"/>
      <c r="M38" s="33"/>
      <c r="N38" s="33"/>
    </row>
    <row r="39" customFormat="false" ht="15" hidden="false" customHeight="false" outlineLevel="0" collapsed="false">
      <c r="B39" s="35" t="s">
        <v>110</v>
      </c>
      <c r="C39" s="30" t="str">
        <f aca="false">Checks!$AF$30</f>
        <v/>
      </c>
      <c r="G39" s="36" t="s">
        <v>111</v>
      </c>
      <c r="H39" s="36"/>
      <c r="I39" s="36"/>
      <c r="J39" s="37" t="str">
        <f aca="false">Checks!$AF$31</f>
        <v/>
      </c>
      <c r="K39" s="37"/>
      <c r="L39" s="38" t="str">
        <f aca="false">IF(Audit!$J$25="Air","Divisor used: "&amp;Checks!$AF$32,"")</f>
        <v/>
      </c>
      <c r="M39" s="38"/>
      <c r="N39" s="38"/>
    </row>
    <row r="41" customFormat="false" ht="21.75" hidden="false" customHeight="true" outlineLevel="0" collapsed="false">
      <c r="B41" s="23" t="s">
        <v>112</v>
      </c>
      <c r="C41" s="23"/>
      <c r="D41" s="23"/>
      <c r="E41" s="23"/>
      <c r="F41" s="23"/>
      <c r="G41" s="23"/>
      <c r="H41" s="23"/>
      <c r="I41" s="23"/>
      <c r="J41" s="23"/>
      <c r="K41" s="23"/>
      <c r="L41" s="23"/>
      <c r="M41" s="23"/>
      <c r="N41" s="23"/>
      <c r="O41" s="23"/>
      <c r="P41" s="23"/>
      <c r="Q41" s="23"/>
    </row>
    <row r="42" customFormat="false" ht="22.35" hidden="false" customHeight="true" outlineLevel="0" collapsed="false">
      <c r="B42" s="28" t="s">
        <v>113</v>
      </c>
      <c r="C42" s="28" t="s">
        <v>114</v>
      </c>
      <c r="D42" s="28" t="s">
        <v>115</v>
      </c>
      <c r="E42" s="28"/>
      <c r="F42" s="28"/>
      <c r="G42" s="28" t="s">
        <v>116</v>
      </c>
      <c r="H42" s="28" t="s">
        <v>117</v>
      </c>
      <c r="I42" s="28"/>
      <c r="J42" s="28" t="s">
        <v>118</v>
      </c>
      <c r="K42" s="28"/>
      <c r="L42" s="28"/>
      <c r="M42" s="28" t="s">
        <v>119</v>
      </c>
      <c r="N42" s="28"/>
    </row>
    <row r="43" customFormat="false" ht="15" hidden="false" customHeight="false" outlineLevel="0" collapsed="false">
      <c r="B43" s="29" t="s">
        <v>120</v>
      </c>
      <c r="C43" s="39"/>
      <c r="D43" s="33" t="str">
        <f aca="false">Checks!$H$55</f>
        <v>No lines</v>
      </c>
      <c r="E43" s="33"/>
      <c r="F43" s="33"/>
      <c r="G43" s="39"/>
      <c r="H43" s="40" t="str">
        <f aca="false">Checks!$J$55</f>
        <v>-</v>
      </c>
      <c r="I43" s="40"/>
      <c r="J43" s="41" t="n">
        <f aca="false">Checks!$K$55</f>
        <v>0</v>
      </c>
      <c r="K43" s="41"/>
      <c r="L43" s="41"/>
      <c r="M43" s="33" t="str">
        <f aca="false">Checks!$L$55</f>
        <v/>
      </c>
      <c r="N43" s="33"/>
    </row>
    <row r="44" customFormat="false" ht="15" hidden="false" customHeight="false" outlineLevel="0" collapsed="false">
      <c r="B44" s="29" t="s">
        <v>121</v>
      </c>
      <c r="C44" s="39"/>
      <c r="D44" s="33" t="str">
        <f aca="false">Checks!$H$56</f>
        <v>No lines</v>
      </c>
      <c r="E44" s="33"/>
      <c r="F44" s="33"/>
      <c r="G44" s="39"/>
      <c r="H44" s="40" t="str">
        <f aca="false">Checks!$J$56</f>
        <v>-</v>
      </c>
      <c r="I44" s="40"/>
      <c r="J44" s="41" t="n">
        <f aca="false">Checks!$K$56</f>
        <v>0</v>
      </c>
      <c r="K44" s="41"/>
      <c r="L44" s="41"/>
      <c r="M44" s="33" t="str">
        <f aca="false">Checks!$L$56</f>
        <v/>
      </c>
      <c r="N44" s="33"/>
    </row>
    <row r="45" customFormat="false" ht="15" hidden="false" customHeight="false" outlineLevel="0" collapsed="false">
      <c r="B45" s="29" t="s">
        <v>122</v>
      </c>
      <c r="C45" s="39"/>
      <c r="D45" s="33" t="str">
        <f aca="false">Checks!$H$57</f>
        <v>No lines</v>
      </c>
      <c r="E45" s="33"/>
      <c r="F45" s="33"/>
      <c r="G45" s="39"/>
      <c r="H45" s="40" t="str">
        <f aca="false">Checks!$J$57</f>
        <v>-</v>
      </c>
      <c r="I45" s="40"/>
      <c r="J45" s="41" t="n">
        <f aca="false">Checks!$K$57</f>
        <v>0</v>
      </c>
      <c r="K45" s="41"/>
      <c r="L45" s="41"/>
      <c r="M45" s="33" t="str">
        <f aca="false">Checks!$L$57</f>
        <v/>
      </c>
      <c r="N45" s="33"/>
    </row>
    <row r="46" customFormat="false" ht="15" hidden="false" customHeight="false" outlineLevel="0" collapsed="false">
      <c r="B46" s="29" t="s">
        <v>123</v>
      </c>
      <c r="C46" s="39"/>
      <c r="D46" s="33" t="str">
        <f aca="false">Checks!$H$58</f>
        <v>No lines</v>
      </c>
      <c r="E46" s="33"/>
      <c r="F46" s="33"/>
      <c r="G46" s="39"/>
      <c r="H46" s="40" t="str">
        <f aca="false">Checks!$J$58</f>
        <v>-</v>
      </c>
      <c r="I46" s="40"/>
      <c r="J46" s="41" t="n">
        <f aca="false">Checks!$K$58</f>
        <v>0</v>
      </c>
      <c r="K46" s="41"/>
      <c r="L46" s="41"/>
      <c r="M46" s="33" t="str">
        <f aca="false">Checks!$L$58</f>
        <v/>
      </c>
      <c r="N46" s="33"/>
    </row>
    <row r="47" customFormat="false" ht="15" hidden="false" customHeight="false" outlineLevel="0" collapsed="false">
      <c r="B47" s="29" t="s">
        <v>124</v>
      </c>
      <c r="C47" s="39"/>
      <c r="D47" s="33" t="str">
        <f aca="false">Checks!$H$59</f>
        <v>No lines</v>
      </c>
      <c r="E47" s="33"/>
      <c r="F47" s="33"/>
      <c r="G47" s="39"/>
      <c r="H47" s="40" t="str">
        <f aca="false">Checks!$J$59</f>
        <v>-</v>
      </c>
      <c r="I47" s="40"/>
      <c r="J47" s="41" t="n">
        <f aca="false">Checks!$K$59</f>
        <v>0</v>
      </c>
      <c r="K47" s="41"/>
      <c r="L47" s="41"/>
      <c r="M47" s="33" t="str">
        <f aca="false">Checks!$L$59</f>
        <v/>
      </c>
      <c r="N47" s="33"/>
    </row>
    <row r="48" customFormat="false" ht="15" hidden="false" customHeight="false" outlineLevel="0" collapsed="false">
      <c r="B48" s="29" t="s">
        <v>125</v>
      </c>
      <c r="C48" s="39"/>
      <c r="D48" s="33" t="str">
        <f aca="false">Checks!$H$60</f>
        <v>No lines</v>
      </c>
      <c r="E48" s="33"/>
      <c r="F48" s="33"/>
      <c r="G48" s="39"/>
      <c r="H48" s="40" t="str">
        <f aca="false">Checks!$J$60</f>
        <v>-</v>
      </c>
      <c r="I48" s="40"/>
      <c r="J48" s="41" t="n">
        <f aca="false">Checks!$K$60</f>
        <v>0</v>
      </c>
      <c r="K48" s="41"/>
      <c r="L48" s="41"/>
      <c r="M48" s="33" t="str">
        <f aca="false">Checks!$L$60</f>
        <v/>
      </c>
      <c r="N48" s="33"/>
    </row>
    <row r="49" customFormat="false" ht="15" hidden="false" customHeight="false" outlineLevel="0" collapsed="false">
      <c r="B49" s="29" t="s">
        <v>126</v>
      </c>
      <c r="C49" s="39"/>
      <c r="D49" s="33" t="str">
        <f aca="false">Checks!$H$61</f>
        <v>No lines</v>
      </c>
      <c r="E49" s="33"/>
      <c r="F49" s="33"/>
      <c r="G49" s="39"/>
      <c r="H49" s="40" t="str">
        <f aca="false">Checks!$J$61</f>
        <v>-</v>
      </c>
      <c r="I49" s="40"/>
      <c r="J49" s="41" t="n">
        <f aca="false">Checks!$K$61</f>
        <v>0</v>
      </c>
      <c r="K49" s="41"/>
      <c r="L49" s="41"/>
      <c r="M49" s="33" t="str">
        <f aca="false">Checks!$L$61</f>
        <v/>
      </c>
      <c r="N49" s="33"/>
    </row>
    <row r="51" customFormat="false" ht="21.75" hidden="false" customHeight="true" outlineLevel="0" collapsed="false">
      <c r="B51" s="23" t="s">
        <v>127</v>
      </c>
      <c r="C51" s="23"/>
      <c r="D51" s="23"/>
      <c r="E51" s="23"/>
      <c r="F51" s="23"/>
      <c r="G51" s="23"/>
      <c r="H51" s="23"/>
      <c r="I51" s="23"/>
      <c r="J51" s="23"/>
      <c r="K51" s="23"/>
      <c r="L51" s="23"/>
      <c r="M51" s="23"/>
      <c r="N51" s="23"/>
      <c r="O51" s="23"/>
      <c r="P51" s="23"/>
      <c r="Q51" s="23"/>
    </row>
    <row r="52" customFormat="false" ht="30" hidden="false" customHeight="true" outlineLevel="0" collapsed="false">
      <c r="A52" s="28" t="s">
        <v>128</v>
      </c>
      <c r="B52" s="28" t="s">
        <v>129</v>
      </c>
      <c r="C52" s="28" t="s">
        <v>130</v>
      </c>
      <c r="D52" s="28" t="s">
        <v>131</v>
      </c>
      <c r="E52" s="28" t="s">
        <v>132</v>
      </c>
      <c r="F52" s="28" t="s">
        <v>133</v>
      </c>
      <c r="G52" s="28" t="s">
        <v>134</v>
      </c>
      <c r="H52" s="42" t="s">
        <v>135</v>
      </c>
      <c r="I52" s="28" t="s">
        <v>136</v>
      </c>
      <c r="J52" s="28" t="s">
        <v>137</v>
      </c>
      <c r="K52" s="28" t="s">
        <v>138</v>
      </c>
      <c r="L52" s="28" t="s">
        <v>139</v>
      </c>
      <c r="M52" s="28" t="s">
        <v>140</v>
      </c>
      <c r="N52" s="28" t="s">
        <v>141</v>
      </c>
      <c r="O52" s="28" t="s">
        <v>142</v>
      </c>
      <c r="P52" s="42" t="s">
        <v>143</v>
      </c>
      <c r="Q52" s="42" t="s">
        <v>106</v>
      </c>
      <c r="R52" s="42" t="s">
        <v>144</v>
      </c>
    </row>
    <row r="53" customFormat="false" ht="15" hidden="false" customHeight="false" outlineLevel="0" collapsed="false">
      <c r="A53" s="43" t="s">
        <v>145</v>
      </c>
      <c r="B53" s="43" t="s">
        <v>146</v>
      </c>
      <c r="C53" s="43" t="s">
        <v>147</v>
      </c>
      <c r="D53" s="43" t="s">
        <v>148</v>
      </c>
      <c r="E53" s="43" t="n">
        <v>155</v>
      </c>
      <c r="F53" s="43" t="s">
        <v>149</v>
      </c>
      <c r="G53" s="43" t="s">
        <v>150</v>
      </c>
      <c r="H53" s="43" t="s">
        <v>151</v>
      </c>
      <c r="I53" s="43"/>
      <c r="J53" s="43"/>
      <c r="K53" s="44" t="n">
        <v>0.08</v>
      </c>
      <c r="L53" s="43" t="n">
        <v>167.4</v>
      </c>
      <c r="M53" s="43"/>
      <c r="N53" s="43"/>
      <c r="O53" s="43" t="s">
        <v>152</v>
      </c>
      <c r="P53" s="43" t="s">
        <v>153</v>
      </c>
      <c r="Q53" s="43" t="s">
        <v>154</v>
      </c>
      <c r="R53" s="43" t="s">
        <v>155</v>
      </c>
    </row>
    <row r="54" customFormat="false" ht="15" hidden="false" customHeight="false" outlineLevel="0" collapsed="false">
      <c r="A54" s="45" t="n">
        <v>1</v>
      </c>
      <c r="B54" s="34"/>
      <c r="C54" s="34"/>
      <c r="D54" s="34"/>
      <c r="E54" s="46"/>
      <c r="F54" s="34"/>
      <c r="G54" s="34"/>
      <c r="H54" s="30" t="str">
        <f aca="false">Checks!$K$2</f>
        <v/>
      </c>
      <c r="I54" s="31"/>
      <c r="J54" s="47"/>
      <c r="K54" s="48"/>
      <c r="L54" s="47"/>
      <c r="M54" s="46"/>
      <c r="N54" s="34"/>
      <c r="O54" s="34"/>
      <c r="P54" s="41" t="str">
        <f aca="false">Checks!$N$2</f>
        <v/>
      </c>
      <c r="Q54" s="33" t="str">
        <f aca="false">Checks!$Q$2</f>
        <v/>
      </c>
      <c r="R54" s="33" t="str">
        <f aca="false">Checks!$E$2</f>
        <v/>
      </c>
    </row>
    <row r="55" customFormat="false" ht="15" hidden="false" customHeight="false" outlineLevel="0" collapsed="false">
      <c r="A55" s="45" t="n">
        <v>2</v>
      </c>
      <c r="B55" s="34"/>
      <c r="C55" s="34"/>
      <c r="D55" s="34"/>
      <c r="E55" s="46"/>
      <c r="F55" s="34"/>
      <c r="G55" s="34"/>
      <c r="H55" s="30" t="str">
        <f aca="false">Checks!$K$3</f>
        <v/>
      </c>
      <c r="I55" s="31"/>
      <c r="J55" s="47"/>
      <c r="K55" s="48"/>
      <c r="L55" s="47"/>
      <c r="M55" s="46"/>
      <c r="N55" s="34"/>
      <c r="O55" s="34"/>
      <c r="P55" s="41" t="str">
        <f aca="false">Checks!$N$3</f>
        <v/>
      </c>
      <c r="Q55" s="33" t="str">
        <f aca="false">Checks!$Q$3</f>
        <v/>
      </c>
      <c r="R55" s="33" t="str">
        <f aca="false">Checks!$E$3</f>
        <v/>
      </c>
    </row>
    <row r="56" customFormat="false" ht="15" hidden="false" customHeight="false" outlineLevel="0" collapsed="false">
      <c r="A56" s="45" t="n">
        <v>3</v>
      </c>
      <c r="B56" s="34"/>
      <c r="C56" s="34"/>
      <c r="D56" s="34"/>
      <c r="E56" s="46"/>
      <c r="F56" s="34"/>
      <c r="G56" s="34"/>
      <c r="H56" s="30" t="str">
        <f aca="false">Checks!$K$4</f>
        <v/>
      </c>
      <c r="I56" s="31"/>
      <c r="J56" s="47"/>
      <c r="K56" s="48"/>
      <c r="L56" s="47"/>
      <c r="M56" s="46"/>
      <c r="N56" s="34"/>
      <c r="O56" s="34"/>
      <c r="P56" s="41" t="str">
        <f aca="false">Checks!$N$4</f>
        <v/>
      </c>
      <c r="Q56" s="33" t="str">
        <f aca="false">Checks!$Q$4</f>
        <v/>
      </c>
      <c r="R56" s="33" t="str">
        <f aca="false">Checks!$E$4</f>
        <v/>
      </c>
    </row>
    <row r="57" customFormat="false" ht="15" hidden="false" customHeight="false" outlineLevel="0" collapsed="false">
      <c r="A57" s="45" t="n">
        <v>4</v>
      </c>
      <c r="B57" s="34"/>
      <c r="C57" s="34"/>
      <c r="D57" s="34"/>
      <c r="E57" s="46"/>
      <c r="F57" s="34"/>
      <c r="G57" s="34"/>
      <c r="H57" s="30" t="str">
        <f aca="false">Checks!$K$5</f>
        <v/>
      </c>
      <c r="I57" s="31"/>
      <c r="J57" s="47"/>
      <c r="K57" s="48"/>
      <c r="L57" s="47"/>
      <c r="M57" s="46"/>
      <c r="N57" s="34"/>
      <c r="O57" s="34"/>
      <c r="P57" s="41" t="str">
        <f aca="false">Checks!$N$5</f>
        <v/>
      </c>
      <c r="Q57" s="33" t="str">
        <f aca="false">Checks!$Q$5</f>
        <v/>
      </c>
      <c r="R57" s="33" t="str">
        <f aca="false">Checks!$E$5</f>
        <v/>
      </c>
    </row>
    <row r="58" customFormat="false" ht="15" hidden="false" customHeight="false" outlineLevel="0" collapsed="false">
      <c r="A58" s="45" t="n">
        <v>5</v>
      </c>
      <c r="B58" s="34"/>
      <c r="C58" s="34"/>
      <c r="D58" s="34"/>
      <c r="E58" s="46"/>
      <c r="F58" s="34"/>
      <c r="G58" s="34"/>
      <c r="H58" s="30" t="str">
        <f aca="false">Checks!$K$6</f>
        <v/>
      </c>
      <c r="I58" s="31"/>
      <c r="J58" s="47"/>
      <c r="K58" s="48"/>
      <c r="L58" s="47"/>
      <c r="M58" s="46"/>
      <c r="N58" s="34"/>
      <c r="O58" s="34"/>
      <c r="P58" s="41" t="str">
        <f aca="false">Checks!$N$6</f>
        <v/>
      </c>
      <c r="Q58" s="33" t="str">
        <f aca="false">Checks!$Q$6</f>
        <v/>
      </c>
      <c r="R58" s="33" t="str">
        <f aca="false">Checks!$E$6</f>
        <v/>
      </c>
    </row>
    <row r="59" customFormat="false" ht="15" hidden="false" customHeight="false" outlineLevel="0" collapsed="false">
      <c r="A59" s="45" t="n">
        <v>6</v>
      </c>
      <c r="B59" s="34"/>
      <c r="C59" s="34"/>
      <c r="D59" s="34"/>
      <c r="E59" s="46"/>
      <c r="F59" s="34"/>
      <c r="G59" s="34"/>
      <c r="H59" s="30" t="str">
        <f aca="false">Checks!$K$7</f>
        <v/>
      </c>
      <c r="I59" s="31"/>
      <c r="J59" s="47"/>
      <c r="K59" s="48"/>
      <c r="L59" s="47"/>
      <c r="M59" s="46"/>
      <c r="N59" s="34"/>
      <c r="O59" s="34"/>
      <c r="P59" s="41" t="str">
        <f aca="false">Checks!$N$7</f>
        <v/>
      </c>
      <c r="Q59" s="33" t="str">
        <f aca="false">Checks!$Q$7</f>
        <v/>
      </c>
      <c r="R59" s="33" t="str">
        <f aca="false">Checks!$E$7</f>
        <v/>
      </c>
    </row>
    <row r="60" customFormat="false" ht="15" hidden="false" customHeight="false" outlineLevel="0" collapsed="false">
      <c r="A60" s="45" t="n">
        <v>7</v>
      </c>
      <c r="B60" s="34"/>
      <c r="C60" s="34"/>
      <c r="D60" s="34"/>
      <c r="E60" s="46"/>
      <c r="F60" s="34"/>
      <c r="G60" s="34"/>
      <c r="H60" s="30" t="str">
        <f aca="false">Checks!$K$8</f>
        <v/>
      </c>
      <c r="I60" s="31"/>
      <c r="J60" s="47"/>
      <c r="K60" s="48"/>
      <c r="L60" s="47"/>
      <c r="M60" s="46"/>
      <c r="N60" s="34"/>
      <c r="O60" s="34"/>
      <c r="P60" s="41" t="str">
        <f aca="false">Checks!$N$8</f>
        <v/>
      </c>
      <c r="Q60" s="33" t="str">
        <f aca="false">Checks!$Q$8</f>
        <v/>
      </c>
      <c r="R60" s="33" t="str">
        <f aca="false">Checks!$E$8</f>
        <v/>
      </c>
    </row>
    <row r="61" customFormat="false" ht="15" hidden="false" customHeight="false" outlineLevel="0" collapsed="false">
      <c r="A61" s="45" t="n">
        <v>8</v>
      </c>
      <c r="B61" s="34"/>
      <c r="C61" s="34"/>
      <c r="D61" s="34"/>
      <c r="E61" s="46"/>
      <c r="F61" s="34"/>
      <c r="G61" s="34"/>
      <c r="H61" s="30" t="str">
        <f aca="false">Checks!$K$9</f>
        <v/>
      </c>
      <c r="I61" s="31"/>
      <c r="J61" s="47"/>
      <c r="K61" s="48"/>
      <c r="L61" s="47"/>
      <c r="M61" s="46"/>
      <c r="N61" s="34"/>
      <c r="O61" s="34"/>
      <c r="P61" s="41" t="str">
        <f aca="false">Checks!$N$9</f>
        <v/>
      </c>
      <c r="Q61" s="33" t="str">
        <f aca="false">Checks!$Q$9</f>
        <v/>
      </c>
      <c r="R61" s="33" t="str">
        <f aca="false">Checks!$E$9</f>
        <v/>
      </c>
    </row>
    <row r="62" customFormat="false" ht="15" hidden="false" customHeight="false" outlineLevel="0" collapsed="false">
      <c r="A62" s="45" t="n">
        <v>9</v>
      </c>
      <c r="B62" s="34"/>
      <c r="C62" s="34"/>
      <c r="D62" s="34"/>
      <c r="E62" s="46"/>
      <c r="F62" s="34"/>
      <c r="G62" s="34"/>
      <c r="H62" s="30" t="str">
        <f aca="false">Checks!$K$10</f>
        <v/>
      </c>
      <c r="I62" s="31"/>
      <c r="J62" s="47"/>
      <c r="K62" s="48"/>
      <c r="L62" s="47"/>
      <c r="M62" s="46"/>
      <c r="N62" s="34"/>
      <c r="O62" s="34"/>
      <c r="P62" s="41" t="str">
        <f aca="false">Checks!$N$10</f>
        <v/>
      </c>
      <c r="Q62" s="33" t="str">
        <f aca="false">Checks!$Q$10</f>
        <v/>
      </c>
      <c r="R62" s="33" t="str">
        <f aca="false">Checks!$E$10</f>
        <v/>
      </c>
    </row>
    <row r="63" customFormat="false" ht="15" hidden="false" customHeight="false" outlineLevel="0" collapsed="false">
      <c r="A63" s="45" t="n">
        <v>10</v>
      </c>
      <c r="B63" s="34"/>
      <c r="C63" s="34"/>
      <c r="D63" s="34"/>
      <c r="E63" s="46"/>
      <c r="F63" s="34"/>
      <c r="G63" s="34"/>
      <c r="H63" s="30" t="str">
        <f aca="false">Checks!$K$11</f>
        <v/>
      </c>
      <c r="I63" s="31"/>
      <c r="J63" s="47"/>
      <c r="K63" s="48"/>
      <c r="L63" s="47"/>
      <c r="M63" s="46"/>
      <c r="N63" s="34"/>
      <c r="O63" s="34"/>
      <c r="P63" s="41" t="str">
        <f aca="false">Checks!$N$11</f>
        <v/>
      </c>
      <c r="Q63" s="33" t="str">
        <f aca="false">Checks!$Q$11</f>
        <v/>
      </c>
      <c r="R63" s="33" t="str">
        <f aca="false">Checks!$E$11</f>
        <v/>
      </c>
    </row>
    <row r="64" customFormat="false" ht="15" hidden="false" customHeight="false" outlineLevel="0" collapsed="false">
      <c r="A64" s="45" t="n">
        <v>11</v>
      </c>
      <c r="B64" s="34"/>
      <c r="C64" s="34"/>
      <c r="D64" s="34"/>
      <c r="E64" s="46"/>
      <c r="F64" s="34"/>
      <c r="G64" s="34"/>
      <c r="H64" s="30" t="str">
        <f aca="false">Checks!$K$12</f>
        <v/>
      </c>
      <c r="I64" s="31"/>
      <c r="J64" s="47"/>
      <c r="K64" s="48"/>
      <c r="L64" s="47"/>
      <c r="M64" s="46"/>
      <c r="N64" s="34"/>
      <c r="O64" s="34"/>
      <c r="P64" s="41" t="str">
        <f aca="false">Checks!$N$12</f>
        <v/>
      </c>
      <c r="Q64" s="33" t="str">
        <f aca="false">Checks!$Q$12</f>
        <v/>
      </c>
      <c r="R64" s="33" t="str">
        <f aca="false">Checks!$E$12</f>
        <v/>
      </c>
    </row>
    <row r="65" customFormat="false" ht="15" hidden="false" customHeight="false" outlineLevel="0" collapsed="false">
      <c r="A65" s="45" t="n">
        <v>12</v>
      </c>
      <c r="B65" s="34"/>
      <c r="C65" s="34"/>
      <c r="D65" s="34"/>
      <c r="E65" s="46"/>
      <c r="F65" s="34"/>
      <c r="G65" s="34"/>
      <c r="H65" s="30" t="str">
        <f aca="false">Checks!$K$13</f>
        <v/>
      </c>
      <c r="I65" s="31"/>
      <c r="J65" s="47"/>
      <c r="K65" s="48"/>
      <c r="L65" s="47"/>
      <c r="M65" s="46"/>
      <c r="N65" s="34"/>
      <c r="O65" s="34"/>
      <c r="P65" s="41" t="str">
        <f aca="false">Checks!$N$13</f>
        <v/>
      </c>
      <c r="Q65" s="33" t="str">
        <f aca="false">Checks!$Q$13</f>
        <v/>
      </c>
      <c r="R65" s="33" t="str">
        <f aca="false">Checks!$E$13</f>
        <v/>
      </c>
    </row>
    <row r="66" customFormat="false" ht="15" hidden="false" customHeight="false" outlineLevel="0" collapsed="false">
      <c r="A66" s="45" t="n">
        <v>13</v>
      </c>
      <c r="B66" s="34"/>
      <c r="C66" s="34"/>
      <c r="D66" s="34"/>
      <c r="E66" s="46"/>
      <c r="F66" s="34"/>
      <c r="G66" s="34"/>
      <c r="H66" s="30" t="str">
        <f aca="false">Checks!$K$14</f>
        <v/>
      </c>
      <c r="I66" s="31"/>
      <c r="J66" s="47"/>
      <c r="K66" s="48"/>
      <c r="L66" s="47"/>
      <c r="M66" s="46"/>
      <c r="N66" s="34"/>
      <c r="O66" s="34"/>
      <c r="P66" s="41" t="str">
        <f aca="false">Checks!$N$14</f>
        <v/>
      </c>
      <c r="Q66" s="33" t="str">
        <f aca="false">Checks!$Q$14</f>
        <v/>
      </c>
      <c r="R66" s="33" t="str">
        <f aca="false">Checks!$E$14</f>
        <v/>
      </c>
    </row>
    <row r="67" customFormat="false" ht="15" hidden="false" customHeight="false" outlineLevel="0" collapsed="false">
      <c r="A67" s="45" t="n">
        <v>14</v>
      </c>
      <c r="B67" s="34"/>
      <c r="C67" s="34"/>
      <c r="D67" s="34"/>
      <c r="E67" s="46"/>
      <c r="F67" s="34"/>
      <c r="G67" s="34"/>
      <c r="H67" s="30" t="str">
        <f aca="false">Checks!$K$15</f>
        <v/>
      </c>
      <c r="I67" s="31"/>
      <c r="J67" s="47"/>
      <c r="K67" s="48"/>
      <c r="L67" s="47"/>
      <c r="M67" s="46"/>
      <c r="N67" s="34"/>
      <c r="O67" s="34"/>
      <c r="P67" s="41" t="str">
        <f aca="false">Checks!$N$15</f>
        <v/>
      </c>
      <c r="Q67" s="33" t="str">
        <f aca="false">Checks!$Q$15</f>
        <v/>
      </c>
      <c r="R67" s="33" t="str">
        <f aca="false">Checks!$E$15</f>
        <v/>
      </c>
    </row>
    <row r="68" customFormat="false" ht="15" hidden="false" customHeight="false" outlineLevel="0" collapsed="false">
      <c r="A68" s="45" t="n">
        <v>15</v>
      </c>
      <c r="B68" s="34"/>
      <c r="C68" s="34"/>
      <c r="D68" s="34"/>
      <c r="E68" s="46"/>
      <c r="F68" s="34"/>
      <c r="G68" s="34"/>
      <c r="H68" s="30" t="str">
        <f aca="false">Checks!$K$16</f>
        <v/>
      </c>
      <c r="I68" s="31"/>
      <c r="J68" s="47"/>
      <c r="K68" s="48"/>
      <c r="L68" s="47"/>
      <c r="M68" s="46"/>
      <c r="N68" s="34"/>
      <c r="O68" s="34"/>
      <c r="P68" s="41" t="str">
        <f aca="false">Checks!$N$16</f>
        <v/>
      </c>
      <c r="Q68" s="33" t="str">
        <f aca="false">Checks!$Q$16</f>
        <v/>
      </c>
      <c r="R68" s="33" t="str">
        <f aca="false">Checks!$E$16</f>
        <v/>
      </c>
    </row>
    <row r="69" customFormat="false" ht="15" hidden="false" customHeight="false" outlineLevel="0" collapsed="false">
      <c r="A69" s="45" t="n">
        <v>16</v>
      </c>
      <c r="B69" s="34"/>
      <c r="C69" s="34"/>
      <c r="D69" s="34"/>
      <c r="E69" s="46"/>
      <c r="F69" s="34"/>
      <c r="G69" s="34"/>
      <c r="H69" s="30" t="str">
        <f aca="false">Checks!$K$17</f>
        <v/>
      </c>
      <c r="I69" s="31"/>
      <c r="J69" s="47"/>
      <c r="K69" s="48"/>
      <c r="L69" s="47"/>
      <c r="M69" s="46"/>
      <c r="N69" s="34"/>
      <c r="O69" s="34"/>
      <c r="P69" s="41" t="str">
        <f aca="false">Checks!$N$17</f>
        <v/>
      </c>
      <c r="Q69" s="33" t="str">
        <f aca="false">Checks!$Q$17</f>
        <v/>
      </c>
      <c r="R69" s="33" t="str">
        <f aca="false">Checks!$E$17</f>
        <v/>
      </c>
    </row>
    <row r="70" customFormat="false" ht="15" hidden="false" customHeight="false" outlineLevel="0" collapsed="false">
      <c r="A70" s="45" t="n">
        <v>17</v>
      </c>
      <c r="B70" s="34"/>
      <c r="C70" s="34"/>
      <c r="D70" s="34"/>
      <c r="E70" s="46"/>
      <c r="F70" s="34"/>
      <c r="G70" s="34"/>
      <c r="H70" s="30" t="str">
        <f aca="false">Checks!$K$18</f>
        <v/>
      </c>
      <c r="I70" s="31"/>
      <c r="J70" s="47"/>
      <c r="K70" s="48"/>
      <c r="L70" s="47"/>
      <c r="M70" s="46"/>
      <c r="N70" s="34"/>
      <c r="O70" s="34"/>
      <c r="P70" s="41" t="str">
        <f aca="false">Checks!$N$18</f>
        <v/>
      </c>
      <c r="Q70" s="33" t="str">
        <f aca="false">Checks!$Q$18</f>
        <v/>
      </c>
      <c r="R70" s="33" t="str">
        <f aca="false">Checks!$E$18</f>
        <v/>
      </c>
    </row>
    <row r="71" customFormat="false" ht="15" hidden="false" customHeight="false" outlineLevel="0" collapsed="false">
      <c r="A71" s="45" t="n">
        <v>18</v>
      </c>
      <c r="B71" s="34"/>
      <c r="C71" s="34"/>
      <c r="D71" s="34"/>
      <c r="E71" s="46"/>
      <c r="F71" s="34"/>
      <c r="G71" s="34"/>
      <c r="H71" s="30" t="str">
        <f aca="false">Checks!$K$19</f>
        <v/>
      </c>
      <c r="I71" s="31"/>
      <c r="J71" s="47"/>
      <c r="K71" s="48"/>
      <c r="L71" s="47"/>
      <c r="M71" s="46"/>
      <c r="N71" s="34"/>
      <c r="O71" s="34"/>
      <c r="P71" s="41" t="str">
        <f aca="false">Checks!$N$19</f>
        <v/>
      </c>
      <c r="Q71" s="33" t="str">
        <f aca="false">Checks!$Q$19</f>
        <v/>
      </c>
      <c r="R71" s="33" t="str">
        <f aca="false">Checks!$E$19</f>
        <v/>
      </c>
    </row>
    <row r="72" customFormat="false" ht="15" hidden="false" customHeight="false" outlineLevel="0" collapsed="false">
      <c r="A72" s="45" t="n">
        <v>19</v>
      </c>
      <c r="B72" s="34"/>
      <c r="C72" s="34"/>
      <c r="D72" s="34"/>
      <c r="E72" s="46"/>
      <c r="F72" s="34"/>
      <c r="G72" s="34"/>
      <c r="H72" s="30" t="str">
        <f aca="false">Checks!$K$20</f>
        <v/>
      </c>
      <c r="I72" s="31"/>
      <c r="J72" s="47"/>
      <c r="K72" s="48"/>
      <c r="L72" s="47"/>
      <c r="M72" s="46"/>
      <c r="N72" s="34"/>
      <c r="O72" s="34"/>
      <c r="P72" s="41" t="str">
        <f aca="false">Checks!$N$20</f>
        <v/>
      </c>
      <c r="Q72" s="33" t="str">
        <f aca="false">Checks!$Q$20</f>
        <v/>
      </c>
      <c r="R72" s="33" t="str">
        <f aca="false">Checks!$E$20</f>
        <v/>
      </c>
    </row>
    <row r="73" customFormat="false" ht="15" hidden="false" customHeight="false" outlineLevel="0" collapsed="false">
      <c r="A73" s="45" t="n">
        <v>20</v>
      </c>
      <c r="B73" s="34"/>
      <c r="C73" s="34"/>
      <c r="D73" s="34"/>
      <c r="E73" s="46"/>
      <c r="F73" s="34"/>
      <c r="G73" s="34"/>
      <c r="H73" s="30" t="str">
        <f aca="false">Checks!$K$21</f>
        <v/>
      </c>
      <c r="I73" s="31"/>
      <c r="J73" s="47"/>
      <c r="K73" s="48"/>
      <c r="L73" s="47"/>
      <c r="M73" s="46"/>
      <c r="N73" s="34"/>
      <c r="O73" s="34"/>
      <c r="P73" s="41" t="str">
        <f aca="false">Checks!$N$21</f>
        <v/>
      </c>
      <c r="Q73" s="33" t="str">
        <f aca="false">Checks!$Q$21</f>
        <v/>
      </c>
      <c r="R73" s="33" t="str">
        <f aca="false">Checks!$E$21</f>
        <v/>
      </c>
    </row>
    <row r="74" customFormat="false" ht="15" hidden="false" customHeight="false" outlineLevel="0" collapsed="false">
      <c r="A74" s="45" t="n">
        <v>21</v>
      </c>
      <c r="B74" s="34"/>
      <c r="C74" s="34"/>
      <c r="D74" s="34"/>
      <c r="E74" s="46"/>
      <c r="F74" s="34"/>
      <c r="G74" s="34"/>
      <c r="H74" s="30" t="str">
        <f aca="false">Checks!$K$22</f>
        <v/>
      </c>
      <c r="I74" s="31"/>
      <c r="J74" s="47"/>
      <c r="K74" s="48"/>
      <c r="L74" s="47"/>
      <c r="M74" s="46"/>
      <c r="N74" s="34"/>
      <c r="O74" s="34"/>
      <c r="P74" s="41" t="str">
        <f aca="false">Checks!$N$22</f>
        <v/>
      </c>
      <c r="Q74" s="33" t="str">
        <f aca="false">Checks!$Q$22</f>
        <v/>
      </c>
      <c r="R74" s="33" t="str">
        <f aca="false">Checks!$E$22</f>
        <v/>
      </c>
    </row>
    <row r="75" customFormat="false" ht="15" hidden="false" customHeight="false" outlineLevel="0" collapsed="false">
      <c r="A75" s="45" t="n">
        <v>22</v>
      </c>
      <c r="B75" s="34"/>
      <c r="C75" s="34"/>
      <c r="D75" s="34"/>
      <c r="E75" s="46"/>
      <c r="F75" s="34"/>
      <c r="G75" s="34"/>
      <c r="H75" s="30" t="str">
        <f aca="false">Checks!$K$23</f>
        <v/>
      </c>
      <c r="I75" s="31"/>
      <c r="J75" s="47"/>
      <c r="K75" s="48"/>
      <c r="L75" s="47"/>
      <c r="M75" s="46"/>
      <c r="N75" s="34"/>
      <c r="O75" s="34"/>
      <c r="P75" s="41" t="str">
        <f aca="false">Checks!$N$23</f>
        <v/>
      </c>
      <c r="Q75" s="33" t="str">
        <f aca="false">Checks!$Q$23</f>
        <v/>
      </c>
      <c r="R75" s="33" t="str">
        <f aca="false">Checks!$E$23</f>
        <v/>
      </c>
    </row>
    <row r="76" customFormat="false" ht="15" hidden="false" customHeight="false" outlineLevel="0" collapsed="false">
      <c r="A76" s="45" t="n">
        <v>23</v>
      </c>
      <c r="B76" s="34"/>
      <c r="C76" s="34"/>
      <c r="D76" s="34"/>
      <c r="E76" s="46"/>
      <c r="F76" s="34"/>
      <c r="G76" s="34"/>
      <c r="H76" s="30" t="str">
        <f aca="false">Checks!$K$24</f>
        <v/>
      </c>
      <c r="I76" s="31"/>
      <c r="J76" s="47"/>
      <c r="K76" s="48"/>
      <c r="L76" s="47"/>
      <c r="M76" s="46"/>
      <c r="N76" s="34"/>
      <c r="O76" s="34"/>
      <c r="P76" s="41" t="str">
        <f aca="false">Checks!$N$24</f>
        <v/>
      </c>
      <c r="Q76" s="33" t="str">
        <f aca="false">Checks!$Q$24</f>
        <v/>
      </c>
      <c r="R76" s="33" t="str">
        <f aca="false">Checks!$E$24</f>
        <v/>
      </c>
    </row>
    <row r="77" customFormat="false" ht="15" hidden="false" customHeight="false" outlineLevel="0" collapsed="false">
      <c r="A77" s="45" t="n">
        <v>24</v>
      </c>
      <c r="B77" s="34"/>
      <c r="C77" s="34"/>
      <c r="D77" s="34"/>
      <c r="E77" s="46"/>
      <c r="F77" s="34"/>
      <c r="G77" s="34"/>
      <c r="H77" s="30" t="str">
        <f aca="false">Checks!$K$25</f>
        <v/>
      </c>
      <c r="I77" s="31"/>
      <c r="J77" s="47"/>
      <c r="K77" s="48"/>
      <c r="L77" s="47"/>
      <c r="M77" s="46"/>
      <c r="N77" s="34"/>
      <c r="O77" s="34"/>
      <c r="P77" s="41" t="str">
        <f aca="false">Checks!$N$25</f>
        <v/>
      </c>
      <c r="Q77" s="33" t="str">
        <f aca="false">Checks!$Q$25</f>
        <v/>
      </c>
      <c r="R77" s="33" t="str">
        <f aca="false">Checks!$E$25</f>
        <v/>
      </c>
    </row>
    <row r="78" customFormat="false" ht="15" hidden="false" customHeight="false" outlineLevel="0" collapsed="false">
      <c r="A78" s="45" t="n">
        <v>25</v>
      </c>
      <c r="B78" s="34"/>
      <c r="C78" s="34"/>
      <c r="D78" s="34"/>
      <c r="E78" s="46"/>
      <c r="F78" s="34"/>
      <c r="G78" s="34"/>
      <c r="H78" s="30" t="str">
        <f aca="false">Checks!$K$26</f>
        <v/>
      </c>
      <c r="I78" s="31"/>
      <c r="J78" s="47"/>
      <c r="K78" s="48"/>
      <c r="L78" s="47"/>
      <c r="M78" s="46"/>
      <c r="N78" s="34"/>
      <c r="O78" s="34"/>
      <c r="P78" s="41" t="str">
        <f aca="false">Checks!$N$26</f>
        <v/>
      </c>
      <c r="Q78" s="33" t="str">
        <f aca="false">Checks!$Q$26</f>
        <v/>
      </c>
      <c r="R78" s="33" t="str">
        <f aca="false">Checks!$E$26</f>
        <v/>
      </c>
    </row>
    <row r="79" customFormat="false" ht="15" hidden="false" customHeight="false" outlineLevel="0" collapsed="false">
      <c r="A79" s="45" t="n">
        <v>26</v>
      </c>
      <c r="B79" s="34"/>
      <c r="C79" s="34"/>
      <c r="D79" s="34"/>
      <c r="E79" s="46"/>
      <c r="F79" s="34"/>
      <c r="G79" s="34"/>
      <c r="H79" s="30" t="str">
        <f aca="false">Checks!$K$27</f>
        <v/>
      </c>
      <c r="I79" s="31"/>
      <c r="J79" s="47"/>
      <c r="K79" s="48"/>
      <c r="L79" s="47"/>
      <c r="M79" s="46"/>
      <c r="N79" s="34"/>
      <c r="O79" s="34"/>
      <c r="P79" s="41" t="str">
        <f aca="false">Checks!$N$27</f>
        <v/>
      </c>
      <c r="Q79" s="33" t="str">
        <f aca="false">Checks!$Q$27</f>
        <v/>
      </c>
      <c r="R79" s="33" t="str">
        <f aca="false">Checks!$E$27</f>
        <v/>
      </c>
    </row>
    <row r="80" customFormat="false" ht="15" hidden="false" customHeight="false" outlineLevel="0" collapsed="false">
      <c r="A80" s="45" t="n">
        <v>27</v>
      </c>
      <c r="B80" s="34"/>
      <c r="C80" s="34"/>
      <c r="D80" s="34"/>
      <c r="E80" s="46"/>
      <c r="F80" s="34"/>
      <c r="G80" s="34"/>
      <c r="H80" s="30" t="str">
        <f aca="false">Checks!$K$28</f>
        <v/>
      </c>
      <c r="I80" s="31"/>
      <c r="J80" s="47"/>
      <c r="K80" s="48"/>
      <c r="L80" s="47"/>
      <c r="M80" s="46"/>
      <c r="N80" s="34"/>
      <c r="O80" s="34"/>
      <c r="P80" s="41" t="str">
        <f aca="false">Checks!$N$28</f>
        <v/>
      </c>
      <c r="Q80" s="33" t="str">
        <f aca="false">Checks!$Q$28</f>
        <v/>
      </c>
      <c r="R80" s="33" t="str">
        <f aca="false">Checks!$E$28</f>
        <v/>
      </c>
    </row>
    <row r="81" customFormat="false" ht="15" hidden="false" customHeight="false" outlineLevel="0" collapsed="false">
      <c r="A81" s="45" t="n">
        <v>28</v>
      </c>
      <c r="B81" s="34"/>
      <c r="C81" s="34"/>
      <c r="D81" s="34"/>
      <c r="E81" s="46"/>
      <c r="F81" s="34"/>
      <c r="G81" s="34"/>
      <c r="H81" s="30" t="str">
        <f aca="false">Checks!$K$29</f>
        <v/>
      </c>
      <c r="I81" s="31"/>
      <c r="J81" s="47"/>
      <c r="K81" s="48"/>
      <c r="L81" s="47"/>
      <c r="M81" s="46"/>
      <c r="N81" s="34"/>
      <c r="O81" s="34"/>
      <c r="P81" s="41" t="str">
        <f aca="false">Checks!$N$29</f>
        <v/>
      </c>
      <c r="Q81" s="33" t="str">
        <f aca="false">Checks!$Q$29</f>
        <v/>
      </c>
      <c r="R81" s="33" t="str">
        <f aca="false">Checks!$E$29</f>
        <v/>
      </c>
    </row>
    <row r="82" customFormat="false" ht="15" hidden="false" customHeight="false" outlineLevel="0" collapsed="false">
      <c r="A82" s="45" t="n">
        <v>29</v>
      </c>
      <c r="B82" s="34"/>
      <c r="C82" s="34"/>
      <c r="D82" s="34"/>
      <c r="E82" s="46"/>
      <c r="F82" s="34"/>
      <c r="G82" s="34"/>
      <c r="H82" s="30" t="str">
        <f aca="false">Checks!$K$30</f>
        <v/>
      </c>
      <c r="I82" s="31"/>
      <c r="J82" s="47"/>
      <c r="K82" s="48"/>
      <c r="L82" s="47"/>
      <c r="M82" s="46"/>
      <c r="N82" s="34"/>
      <c r="O82" s="34"/>
      <c r="P82" s="41" t="str">
        <f aca="false">Checks!$N$30</f>
        <v/>
      </c>
      <c r="Q82" s="33" t="str">
        <f aca="false">Checks!$Q$30</f>
        <v/>
      </c>
      <c r="R82" s="33" t="str">
        <f aca="false">Checks!$E$30</f>
        <v/>
      </c>
    </row>
    <row r="83" customFormat="false" ht="15" hidden="false" customHeight="false" outlineLevel="0" collapsed="false">
      <c r="A83" s="45" t="n">
        <v>30</v>
      </c>
      <c r="B83" s="34"/>
      <c r="C83" s="34"/>
      <c r="D83" s="34"/>
      <c r="E83" s="46"/>
      <c r="F83" s="34"/>
      <c r="G83" s="34"/>
      <c r="H83" s="30" t="str">
        <f aca="false">Checks!$K$31</f>
        <v/>
      </c>
      <c r="I83" s="31"/>
      <c r="J83" s="47"/>
      <c r="K83" s="48"/>
      <c r="L83" s="47"/>
      <c r="M83" s="46"/>
      <c r="N83" s="34"/>
      <c r="O83" s="34"/>
      <c r="P83" s="41" t="str">
        <f aca="false">Checks!$N$31</f>
        <v/>
      </c>
      <c r="Q83" s="33" t="str">
        <f aca="false">Checks!$Q$31</f>
        <v/>
      </c>
      <c r="R83" s="33" t="str">
        <f aca="false">Checks!$E$31</f>
        <v/>
      </c>
    </row>
    <row r="84" customFormat="false" ht="15" hidden="false" customHeight="false" outlineLevel="0" collapsed="false">
      <c r="A84" s="45" t="n">
        <v>31</v>
      </c>
      <c r="B84" s="34"/>
      <c r="C84" s="34"/>
      <c r="D84" s="34"/>
      <c r="E84" s="46"/>
      <c r="F84" s="34"/>
      <c r="G84" s="34"/>
      <c r="H84" s="30" t="str">
        <f aca="false">Checks!$K$32</f>
        <v/>
      </c>
      <c r="I84" s="31"/>
      <c r="J84" s="47"/>
      <c r="K84" s="48"/>
      <c r="L84" s="47"/>
      <c r="M84" s="46"/>
      <c r="N84" s="34"/>
      <c r="O84" s="34"/>
      <c r="P84" s="41" t="str">
        <f aca="false">Checks!$N$32</f>
        <v/>
      </c>
      <c r="Q84" s="33" t="str">
        <f aca="false">Checks!$Q$32</f>
        <v/>
      </c>
      <c r="R84" s="33" t="str">
        <f aca="false">Checks!$E$32</f>
        <v/>
      </c>
    </row>
    <row r="85" customFormat="false" ht="15" hidden="false" customHeight="false" outlineLevel="0" collapsed="false">
      <c r="A85" s="45" t="n">
        <v>32</v>
      </c>
      <c r="B85" s="34"/>
      <c r="C85" s="34"/>
      <c r="D85" s="34"/>
      <c r="E85" s="46"/>
      <c r="F85" s="34"/>
      <c r="G85" s="34"/>
      <c r="H85" s="30" t="str">
        <f aca="false">Checks!$K$33</f>
        <v/>
      </c>
      <c r="I85" s="31"/>
      <c r="J85" s="47"/>
      <c r="K85" s="48"/>
      <c r="L85" s="47"/>
      <c r="M85" s="46"/>
      <c r="N85" s="34"/>
      <c r="O85" s="34"/>
      <c r="P85" s="41" t="str">
        <f aca="false">Checks!$N$33</f>
        <v/>
      </c>
      <c r="Q85" s="33" t="str">
        <f aca="false">Checks!$Q$33</f>
        <v/>
      </c>
      <c r="R85" s="33" t="str">
        <f aca="false">Checks!$E$33</f>
        <v/>
      </c>
    </row>
    <row r="86" customFormat="false" ht="15" hidden="false" customHeight="false" outlineLevel="0" collapsed="false">
      <c r="A86" s="45" t="n">
        <v>33</v>
      </c>
      <c r="B86" s="34"/>
      <c r="C86" s="34"/>
      <c r="D86" s="34"/>
      <c r="E86" s="46"/>
      <c r="F86" s="34"/>
      <c r="G86" s="34"/>
      <c r="H86" s="30" t="str">
        <f aca="false">Checks!$K$34</f>
        <v/>
      </c>
      <c r="I86" s="31"/>
      <c r="J86" s="47"/>
      <c r="K86" s="48"/>
      <c r="L86" s="47"/>
      <c r="M86" s="46"/>
      <c r="N86" s="34"/>
      <c r="O86" s="34"/>
      <c r="P86" s="41" t="str">
        <f aca="false">Checks!$N$34</f>
        <v/>
      </c>
      <c r="Q86" s="33" t="str">
        <f aca="false">Checks!$Q$34</f>
        <v/>
      </c>
      <c r="R86" s="33" t="str">
        <f aca="false">Checks!$E$34</f>
        <v/>
      </c>
    </row>
    <row r="87" customFormat="false" ht="15" hidden="false" customHeight="false" outlineLevel="0" collapsed="false">
      <c r="A87" s="45" t="n">
        <v>34</v>
      </c>
      <c r="B87" s="34"/>
      <c r="C87" s="34"/>
      <c r="D87" s="34"/>
      <c r="E87" s="46"/>
      <c r="F87" s="34"/>
      <c r="G87" s="34"/>
      <c r="H87" s="30" t="str">
        <f aca="false">Checks!$K$35</f>
        <v/>
      </c>
      <c r="I87" s="31"/>
      <c r="J87" s="47"/>
      <c r="K87" s="48"/>
      <c r="L87" s="47"/>
      <c r="M87" s="46"/>
      <c r="N87" s="34"/>
      <c r="O87" s="34"/>
      <c r="P87" s="41" t="str">
        <f aca="false">Checks!$N$35</f>
        <v/>
      </c>
      <c r="Q87" s="33" t="str">
        <f aca="false">Checks!$Q$35</f>
        <v/>
      </c>
      <c r="R87" s="33" t="str">
        <f aca="false">Checks!$E$35</f>
        <v/>
      </c>
    </row>
    <row r="88" customFormat="false" ht="15" hidden="false" customHeight="false" outlineLevel="0" collapsed="false">
      <c r="A88" s="45" t="n">
        <v>35</v>
      </c>
      <c r="B88" s="34"/>
      <c r="C88" s="34"/>
      <c r="D88" s="34"/>
      <c r="E88" s="46"/>
      <c r="F88" s="34"/>
      <c r="G88" s="34"/>
      <c r="H88" s="30" t="str">
        <f aca="false">Checks!$K$36</f>
        <v/>
      </c>
      <c r="I88" s="31"/>
      <c r="J88" s="47"/>
      <c r="K88" s="48"/>
      <c r="L88" s="47"/>
      <c r="M88" s="46"/>
      <c r="N88" s="34"/>
      <c r="O88" s="34"/>
      <c r="P88" s="41" t="str">
        <f aca="false">Checks!$N$36</f>
        <v/>
      </c>
      <c r="Q88" s="33" t="str">
        <f aca="false">Checks!$Q$36</f>
        <v/>
      </c>
      <c r="R88" s="33" t="str">
        <f aca="false">Checks!$E$36</f>
        <v/>
      </c>
    </row>
    <row r="89" customFormat="false" ht="15" hidden="false" customHeight="false" outlineLevel="0" collapsed="false">
      <c r="A89" s="45" t="n">
        <v>36</v>
      </c>
      <c r="B89" s="34"/>
      <c r="C89" s="34"/>
      <c r="D89" s="34"/>
      <c r="E89" s="46"/>
      <c r="F89" s="34"/>
      <c r="G89" s="34"/>
      <c r="H89" s="30" t="str">
        <f aca="false">Checks!$K$37</f>
        <v/>
      </c>
      <c r="I89" s="31"/>
      <c r="J89" s="47"/>
      <c r="K89" s="48"/>
      <c r="L89" s="47"/>
      <c r="M89" s="46"/>
      <c r="N89" s="34"/>
      <c r="O89" s="34"/>
      <c r="P89" s="41" t="str">
        <f aca="false">Checks!$N$37</f>
        <v/>
      </c>
      <c r="Q89" s="33" t="str">
        <f aca="false">Checks!$Q$37</f>
        <v/>
      </c>
      <c r="R89" s="33" t="str">
        <f aca="false">Checks!$E$37</f>
        <v/>
      </c>
    </row>
    <row r="90" customFormat="false" ht="15" hidden="false" customHeight="false" outlineLevel="0" collapsed="false">
      <c r="A90" s="45" t="n">
        <v>37</v>
      </c>
      <c r="B90" s="34"/>
      <c r="C90" s="34"/>
      <c r="D90" s="34"/>
      <c r="E90" s="46"/>
      <c r="F90" s="34"/>
      <c r="G90" s="34"/>
      <c r="H90" s="30" t="str">
        <f aca="false">Checks!$K$38</f>
        <v/>
      </c>
      <c r="I90" s="31"/>
      <c r="J90" s="47"/>
      <c r="K90" s="48"/>
      <c r="L90" s="47"/>
      <c r="M90" s="46"/>
      <c r="N90" s="34"/>
      <c r="O90" s="34"/>
      <c r="P90" s="41" t="str">
        <f aca="false">Checks!$N$38</f>
        <v/>
      </c>
      <c r="Q90" s="33" t="str">
        <f aca="false">Checks!$Q$38</f>
        <v/>
      </c>
      <c r="R90" s="33" t="str">
        <f aca="false">Checks!$E$38</f>
        <v/>
      </c>
    </row>
    <row r="91" customFormat="false" ht="15" hidden="false" customHeight="false" outlineLevel="0" collapsed="false">
      <c r="A91" s="45" t="n">
        <v>38</v>
      </c>
      <c r="B91" s="34"/>
      <c r="C91" s="34"/>
      <c r="D91" s="34"/>
      <c r="E91" s="46"/>
      <c r="F91" s="34"/>
      <c r="G91" s="34"/>
      <c r="H91" s="30" t="str">
        <f aca="false">Checks!$K$39</f>
        <v/>
      </c>
      <c r="I91" s="31"/>
      <c r="J91" s="47"/>
      <c r="K91" s="48"/>
      <c r="L91" s="47"/>
      <c r="M91" s="46"/>
      <c r="N91" s="34"/>
      <c r="O91" s="34"/>
      <c r="P91" s="41" t="str">
        <f aca="false">Checks!$N$39</f>
        <v/>
      </c>
      <c r="Q91" s="33" t="str">
        <f aca="false">Checks!$Q$39</f>
        <v/>
      </c>
      <c r="R91" s="33" t="str">
        <f aca="false">Checks!$E$39</f>
        <v/>
      </c>
    </row>
    <row r="92" customFormat="false" ht="15" hidden="false" customHeight="false" outlineLevel="0" collapsed="false">
      <c r="A92" s="45" t="n">
        <v>39</v>
      </c>
      <c r="B92" s="34"/>
      <c r="C92" s="34"/>
      <c r="D92" s="34"/>
      <c r="E92" s="46"/>
      <c r="F92" s="34"/>
      <c r="G92" s="34"/>
      <c r="H92" s="30" t="str">
        <f aca="false">Checks!$K$40</f>
        <v/>
      </c>
      <c r="I92" s="31"/>
      <c r="J92" s="47"/>
      <c r="K92" s="48"/>
      <c r="L92" s="47"/>
      <c r="M92" s="46"/>
      <c r="N92" s="34"/>
      <c r="O92" s="34"/>
      <c r="P92" s="41" t="str">
        <f aca="false">Checks!$N$40</f>
        <v/>
      </c>
      <c r="Q92" s="33" t="str">
        <f aca="false">Checks!$Q$40</f>
        <v/>
      </c>
      <c r="R92" s="33" t="str">
        <f aca="false">Checks!$E$40</f>
        <v/>
      </c>
    </row>
    <row r="93" customFormat="false" ht="15" hidden="false" customHeight="false" outlineLevel="0" collapsed="false">
      <c r="A93" s="45" t="n">
        <v>40</v>
      </c>
      <c r="B93" s="34"/>
      <c r="C93" s="34"/>
      <c r="D93" s="34"/>
      <c r="E93" s="46"/>
      <c r="F93" s="34"/>
      <c r="G93" s="34"/>
      <c r="H93" s="30" t="str">
        <f aca="false">Checks!$K$41</f>
        <v/>
      </c>
      <c r="I93" s="31"/>
      <c r="J93" s="47"/>
      <c r="K93" s="48"/>
      <c r="L93" s="47"/>
      <c r="M93" s="46"/>
      <c r="N93" s="34"/>
      <c r="O93" s="34"/>
      <c r="P93" s="41" t="str">
        <f aca="false">Checks!$N$41</f>
        <v/>
      </c>
      <c r="Q93" s="33" t="str">
        <f aca="false">Checks!$Q$41</f>
        <v/>
      </c>
      <c r="R93" s="33" t="str">
        <f aca="false">Checks!$E$41</f>
        <v/>
      </c>
    </row>
    <row r="94" customFormat="false" ht="15" hidden="false" customHeight="false" outlineLevel="0" collapsed="false">
      <c r="A94" s="45" t="n">
        <v>41</v>
      </c>
      <c r="B94" s="34"/>
      <c r="C94" s="34"/>
      <c r="D94" s="34"/>
      <c r="E94" s="46"/>
      <c r="F94" s="34"/>
      <c r="G94" s="34"/>
      <c r="H94" s="30" t="str">
        <f aca="false">Checks!$K$42</f>
        <v/>
      </c>
      <c r="I94" s="31"/>
      <c r="J94" s="47"/>
      <c r="K94" s="48"/>
      <c r="L94" s="47"/>
      <c r="M94" s="46"/>
      <c r="N94" s="34"/>
      <c r="O94" s="34"/>
      <c r="P94" s="41" t="str">
        <f aca="false">Checks!$N$42</f>
        <v/>
      </c>
      <c r="Q94" s="33" t="str">
        <f aca="false">Checks!$Q$42</f>
        <v/>
      </c>
      <c r="R94" s="33" t="str">
        <f aca="false">Checks!$E$42</f>
        <v/>
      </c>
    </row>
    <row r="95" customFormat="false" ht="15" hidden="false" customHeight="false" outlineLevel="0" collapsed="false">
      <c r="A95" s="45" t="n">
        <v>42</v>
      </c>
      <c r="B95" s="34"/>
      <c r="C95" s="34"/>
      <c r="D95" s="34"/>
      <c r="E95" s="46"/>
      <c r="F95" s="34"/>
      <c r="G95" s="34"/>
      <c r="H95" s="30" t="str">
        <f aca="false">Checks!$K$43</f>
        <v/>
      </c>
      <c r="I95" s="31"/>
      <c r="J95" s="47"/>
      <c r="K95" s="48"/>
      <c r="L95" s="47"/>
      <c r="M95" s="46"/>
      <c r="N95" s="34"/>
      <c r="O95" s="34"/>
      <c r="P95" s="41" t="str">
        <f aca="false">Checks!$N$43</f>
        <v/>
      </c>
      <c r="Q95" s="33" t="str">
        <f aca="false">Checks!$Q$43</f>
        <v/>
      </c>
      <c r="R95" s="33" t="str">
        <f aca="false">Checks!$E$43</f>
        <v/>
      </c>
    </row>
    <row r="96" customFormat="false" ht="15" hidden="false" customHeight="false" outlineLevel="0" collapsed="false">
      <c r="A96" s="45" t="n">
        <v>43</v>
      </c>
      <c r="B96" s="34"/>
      <c r="C96" s="34"/>
      <c r="D96" s="34"/>
      <c r="E96" s="46"/>
      <c r="F96" s="34"/>
      <c r="G96" s="34"/>
      <c r="H96" s="30" t="str">
        <f aca="false">Checks!$K$44</f>
        <v/>
      </c>
      <c r="I96" s="31"/>
      <c r="J96" s="47"/>
      <c r="K96" s="48"/>
      <c r="L96" s="47"/>
      <c r="M96" s="46"/>
      <c r="N96" s="34"/>
      <c r="O96" s="34"/>
      <c r="P96" s="41" t="str">
        <f aca="false">Checks!$N$44</f>
        <v/>
      </c>
      <c r="Q96" s="33" t="str">
        <f aca="false">Checks!$Q$44</f>
        <v/>
      </c>
      <c r="R96" s="33" t="str">
        <f aca="false">Checks!$E$44</f>
        <v/>
      </c>
    </row>
    <row r="97" customFormat="false" ht="15" hidden="false" customHeight="false" outlineLevel="0" collapsed="false">
      <c r="A97" s="45" t="n">
        <v>44</v>
      </c>
      <c r="B97" s="34"/>
      <c r="C97" s="34"/>
      <c r="D97" s="34"/>
      <c r="E97" s="46"/>
      <c r="F97" s="34"/>
      <c r="G97" s="34"/>
      <c r="H97" s="30" t="str">
        <f aca="false">Checks!$K$45</f>
        <v/>
      </c>
      <c r="I97" s="31"/>
      <c r="J97" s="47"/>
      <c r="K97" s="48"/>
      <c r="L97" s="47"/>
      <c r="M97" s="46"/>
      <c r="N97" s="34"/>
      <c r="O97" s="34"/>
      <c r="P97" s="41" t="str">
        <f aca="false">Checks!$N$45</f>
        <v/>
      </c>
      <c r="Q97" s="33" t="str">
        <f aca="false">Checks!$Q$45</f>
        <v/>
      </c>
      <c r="R97" s="33" t="str">
        <f aca="false">Checks!$E$45</f>
        <v/>
      </c>
    </row>
    <row r="98" customFormat="false" ht="15" hidden="false" customHeight="false" outlineLevel="0" collapsed="false">
      <c r="A98" s="45" t="n">
        <v>45</v>
      </c>
      <c r="B98" s="34"/>
      <c r="C98" s="34"/>
      <c r="D98" s="34"/>
      <c r="E98" s="46"/>
      <c r="F98" s="34"/>
      <c r="G98" s="34"/>
      <c r="H98" s="30" t="str">
        <f aca="false">Checks!$K$46</f>
        <v/>
      </c>
      <c r="I98" s="31"/>
      <c r="J98" s="47"/>
      <c r="K98" s="48"/>
      <c r="L98" s="47"/>
      <c r="M98" s="46"/>
      <c r="N98" s="34"/>
      <c r="O98" s="34"/>
      <c r="P98" s="41" t="str">
        <f aca="false">Checks!$N$46</f>
        <v/>
      </c>
      <c r="Q98" s="33" t="str">
        <f aca="false">Checks!$Q$46</f>
        <v/>
      </c>
      <c r="R98" s="33" t="str">
        <f aca="false">Checks!$E$46</f>
        <v/>
      </c>
    </row>
    <row r="99" customFormat="false" ht="15" hidden="false" customHeight="false" outlineLevel="0" collapsed="false">
      <c r="A99" s="45" t="n">
        <v>46</v>
      </c>
      <c r="B99" s="34"/>
      <c r="C99" s="34"/>
      <c r="D99" s="34"/>
      <c r="E99" s="46"/>
      <c r="F99" s="34"/>
      <c r="G99" s="34"/>
      <c r="H99" s="30" t="str">
        <f aca="false">Checks!$K$47</f>
        <v/>
      </c>
      <c r="I99" s="31"/>
      <c r="J99" s="47"/>
      <c r="K99" s="48"/>
      <c r="L99" s="47"/>
      <c r="M99" s="46"/>
      <c r="N99" s="34"/>
      <c r="O99" s="34"/>
      <c r="P99" s="41" t="str">
        <f aca="false">Checks!$N$47</f>
        <v/>
      </c>
      <c r="Q99" s="33" t="str">
        <f aca="false">Checks!$Q$47</f>
        <v/>
      </c>
      <c r="R99" s="33" t="str">
        <f aca="false">Checks!$E$47</f>
        <v/>
      </c>
    </row>
    <row r="100" customFormat="false" ht="15" hidden="false" customHeight="false" outlineLevel="0" collapsed="false">
      <c r="A100" s="45" t="n">
        <v>47</v>
      </c>
      <c r="B100" s="34"/>
      <c r="C100" s="34"/>
      <c r="D100" s="34"/>
      <c r="E100" s="46"/>
      <c r="F100" s="34"/>
      <c r="G100" s="34"/>
      <c r="H100" s="30" t="str">
        <f aca="false">Checks!$K$48</f>
        <v/>
      </c>
      <c r="I100" s="31"/>
      <c r="J100" s="47"/>
      <c r="K100" s="48"/>
      <c r="L100" s="47"/>
      <c r="M100" s="46"/>
      <c r="N100" s="34"/>
      <c r="O100" s="34"/>
      <c r="P100" s="41" t="str">
        <f aca="false">Checks!$N$48</f>
        <v/>
      </c>
      <c r="Q100" s="33" t="str">
        <f aca="false">Checks!$Q$48</f>
        <v/>
      </c>
      <c r="R100" s="33" t="str">
        <f aca="false">Checks!$E$48</f>
        <v/>
      </c>
    </row>
    <row r="101" customFormat="false" ht="15" hidden="false" customHeight="false" outlineLevel="0" collapsed="false">
      <c r="A101" s="45" t="n">
        <v>48</v>
      </c>
      <c r="B101" s="34"/>
      <c r="C101" s="34"/>
      <c r="D101" s="34"/>
      <c r="E101" s="46"/>
      <c r="F101" s="34"/>
      <c r="G101" s="34"/>
      <c r="H101" s="30" t="str">
        <f aca="false">Checks!$K$49</f>
        <v/>
      </c>
      <c r="I101" s="31"/>
      <c r="J101" s="47"/>
      <c r="K101" s="48"/>
      <c r="L101" s="47"/>
      <c r="M101" s="46"/>
      <c r="N101" s="34"/>
      <c r="O101" s="34"/>
      <c r="P101" s="41" t="str">
        <f aca="false">Checks!$N$49</f>
        <v/>
      </c>
      <c r="Q101" s="33" t="str">
        <f aca="false">Checks!$Q$49</f>
        <v/>
      </c>
      <c r="R101" s="33" t="str">
        <f aca="false">Checks!$E$49</f>
        <v/>
      </c>
    </row>
    <row r="102" customFormat="false" ht="15" hidden="false" customHeight="false" outlineLevel="0" collapsed="false">
      <c r="A102" s="45" t="n">
        <v>49</v>
      </c>
      <c r="B102" s="34"/>
      <c r="C102" s="34"/>
      <c r="D102" s="34"/>
      <c r="E102" s="46"/>
      <c r="F102" s="34"/>
      <c r="G102" s="34"/>
      <c r="H102" s="30" t="str">
        <f aca="false">Checks!$K$50</f>
        <v/>
      </c>
      <c r="I102" s="31"/>
      <c r="J102" s="47"/>
      <c r="K102" s="48"/>
      <c r="L102" s="47"/>
      <c r="M102" s="46"/>
      <c r="N102" s="34"/>
      <c r="O102" s="34"/>
      <c r="P102" s="41" t="str">
        <f aca="false">Checks!$N$50</f>
        <v/>
      </c>
      <c r="Q102" s="33" t="str">
        <f aca="false">Checks!$Q$50</f>
        <v/>
      </c>
      <c r="R102" s="33" t="str">
        <f aca="false">Checks!$E$50</f>
        <v/>
      </c>
    </row>
    <row r="103" customFormat="false" ht="15" hidden="false" customHeight="false" outlineLevel="0" collapsed="false">
      <c r="A103" s="45" t="n">
        <v>50</v>
      </c>
      <c r="B103" s="34"/>
      <c r="C103" s="34"/>
      <c r="D103" s="34"/>
      <c r="E103" s="46"/>
      <c r="F103" s="34"/>
      <c r="G103" s="34"/>
      <c r="H103" s="30" t="str">
        <f aca="false">Checks!$K$51</f>
        <v/>
      </c>
      <c r="I103" s="31"/>
      <c r="J103" s="47"/>
      <c r="K103" s="48"/>
      <c r="L103" s="47"/>
      <c r="M103" s="46"/>
      <c r="N103" s="34"/>
      <c r="O103" s="34"/>
      <c r="P103" s="41" t="str">
        <f aca="false">Checks!$N$51</f>
        <v/>
      </c>
      <c r="Q103" s="33" t="str">
        <f aca="false">Checks!$Q$51</f>
        <v/>
      </c>
      <c r="R103" s="33" t="str">
        <f aca="false">Checks!$E$51</f>
        <v/>
      </c>
    </row>
    <row r="104" customFormat="false" ht="15" hidden="false" customHeight="false" outlineLevel="0" collapsed="false">
      <c r="B104" s="49" t="str">
        <f aca="false">Checks!$AF$20</f>
        <v>Known Firm Charges — Not All-In</v>
      </c>
      <c r="C104" s="49"/>
      <c r="D104" s="49"/>
      <c r="E104" s="49"/>
      <c r="F104" s="49"/>
      <c r="G104" s="49"/>
      <c r="H104" s="49"/>
      <c r="I104" s="49"/>
      <c r="J104" s="49"/>
      <c r="K104" s="49"/>
      <c r="L104" s="49"/>
      <c r="M104" s="49"/>
      <c r="N104" s="49"/>
      <c r="O104" s="49"/>
      <c r="P104" s="50" t="n">
        <f aca="false">Checks!$AF$10</f>
        <v>0</v>
      </c>
      <c r="Q104" s="51"/>
      <c r="R104" s="51"/>
    </row>
    <row r="107" customFormat="false" ht="21.75" hidden="false" customHeight="true" outlineLevel="0" collapsed="false">
      <c r="B107" s="23" t="s">
        <v>156</v>
      </c>
      <c r="C107" s="23"/>
      <c r="D107" s="23"/>
      <c r="E107" s="23"/>
      <c r="F107" s="23"/>
      <c r="G107" s="23"/>
      <c r="H107" s="23"/>
      <c r="I107" s="23"/>
      <c r="J107" s="23"/>
      <c r="K107" s="23"/>
      <c r="L107" s="23"/>
      <c r="M107" s="23"/>
      <c r="N107" s="23"/>
      <c r="O107" s="23"/>
      <c r="P107" s="23"/>
      <c r="Q107" s="23"/>
    </row>
    <row r="108" customFormat="false" ht="30" hidden="false" customHeight="true" outlineLevel="0" collapsed="false">
      <c r="B108" s="52" t="s">
        <v>157</v>
      </c>
      <c r="C108" s="19" t="str">
        <f aca="false">Checks!$AF$2</f>
        <v>Not started</v>
      </c>
      <c r="D108" s="19"/>
      <c r="E108" s="19"/>
      <c r="F108" s="19"/>
      <c r="G108" s="53" t="str">
        <f aca="false">Checks!$AF$21</f>
        <v>Enter shipment, quotation and charge details to start the audit.</v>
      </c>
      <c r="H108" s="53"/>
      <c r="I108" s="53"/>
      <c r="J108" s="53"/>
      <c r="K108" s="53"/>
      <c r="L108" s="53"/>
      <c r="M108" s="53"/>
      <c r="N108" s="53"/>
      <c r="O108" s="53"/>
      <c r="P108" s="53"/>
      <c r="Q108" s="53"/>
    </row>
    <row r="109" customFormat="false" ht="15" hidden="false" customHeight="false" outlineLevel="0" collapsed="false">
      <c r="B109" s="52" t="str">
        <f aca="false">Checks!$AF$20</f>
        <v>Known Firm Charges — Not All-In</v>
      </c>
      <c r="C109" s="50" t="n">
        <f aca="false">Checks!$AF$10</f>
        <v>0</v>
      </c>
      <c r="D109" s="54" t="str">
        <f aca="false">Checks!$AF$22</f>
        <v>Not all-in: </v>
      </c>
      <c r="E109" s="54"/>
      <c r="F109" s="54"/>
      <c r="G109" s="54"/>
      <c r="H109" s="54"/>
      <c r="I109" s="54"/>
      <c r="J109" s="54"/>
      <c r="K109" s="54"/>
      <c r="L109" s="54"/>
      <c r="M109" s="54"/>
      <c r="N109" s="54"/>
      <c r="O109" s="54"/>
      <c r="P109" s="54"/>
      <c r="Q109" s="54"/>
    </row>
    <row r="110" customFormat="false" ht="15" hidden="false" customHeight="false" outlineLevel="0" collapsed="false">
      <c r="B110" s="7" t="s">
        <v>158</v>
      </c>
      <c r="C110" s="55" t="n">
        <f aca="false">Checks!$AF$11</f>
        <v>0</v>
      </c>
      <c r="D110" s="54" t="str">
        <f aca="false">"Lines marked Estimate: "&amp;Checks!$AF$12</f>
        <v>Lines marked Estimate: 0</v>
      </c>
      <c r="E110" s="54"/>
      <c r="F110" s="54"/>
      <c r="G110" s="54"/>
      <c r="H110" s="54"/>
      <c r="I110" s="54"/>
      <c r="J110" s="54"/>
      <c r="K110" s="54"/>
      <c r="L110" s="54"/>
      <c r="M110" s="54"/>
      <c r="N110" s="54"/>
      <c r="O110" s="54"/>
      <c r="P110" s="54"/>
      <c r="Q110" s="54"/>
    </row>
    <row r="111" customFormat="false" ht="15" hidden="false" customHeight="false" outlineLevel="0" collapsed="false">
      <c r="B111" s="7" t="s">
        <v>159</v>
      </c>
      <c r="C111" s="55" t="n">
        <f aca="false">Checks!$AF$13</f>
        <v>0</v>
      </c>
      <c r="D111" s="54" t="str">
        <f aca="false">"Priced if-required lines; plus "&amp;Checks!$AF$14&amp;" if-required item(s) with no amount"</f>
        <v>Priced if-required lines; plus 0 if-required item(s) with no amount</v>
      </c>
      <c r="E111" s="54"/>
      <c r="F111" s="54"/>
      <c r="G111" s="54"/>
      <c r="H111" s="54"/>
      <c r="I111" s="54"/>
      <c r="J111" s="54"/>
      <c r="K111" s="54"/>
      <c r="L111" s="54"/>
      <c r="M111" s="54"/>
      <c r="N111" s="54"/>
      <c r="O111" s="54"/>
      <c r="P111" s="54"/>
      <c r="Q111" s="54"/>
    </row>
    <row r="112" customFormat="false" ht="15" hidden="false" customHeight="false" outlineLevel="0" collapsed="false">
      <c r="B112" s="7" t="s">
        <v>160</v>
      </c>
      <c r="C112" s="56" t="n">
        <f aca="false">Checks!$AF$15</f>
        <v>0</v>
      </c>
      <c r="D112" s="54" t="str">
        <f aca="false">"Number of lines charged at cost or still to be confirmed"</f>
        <v>Number of lines charged at cost or still to be confirmed</v>
      </c>
      <c r="E112" s="54"/>
      <c r="F112" s="54"/>
      <c r="G112" s="54"/>
      <c r="H112" s="54"/>
      <c r="I112" s="54"/>
      <c r="J112" s="54"/>
      <c r="K112" s="54"/>
      <c r="L112" s="54"/>
      <c r="M112" s="54"/>
      <c r="N112" s="54"/>
      <c r="O112" s="54"/>
      <c r="P112" s="54"/>
      <c r="Q112" s="54"/>
    </row>
    <row r="113" customFormat="false" ht="15" hidden="false" customHeight="false" outlineLevel="0" collapsed="false">
      <c r="B113" s="7" t="s">
        <v>161</v>
      </c>
      <c r="C113" s="55" t="n">
        <f aca="false">Checks!$AF$16</f>
        <v>0</v>
      </c>
      <c r="D113" s="54" t="str">
        <f aca="false">"Confirmed calculation, agreed-rate or document errors. + = quoted above the correct amount"</f>
        <v>Confirmed calculation, agreed-rate or document errors. + = quoted above the correct amount</v>
      </c>
      <c r="E113" s="54"/>
      <c r="F113" s="54"/>
      <c r="G113" s="54"/>
      <c r="H113" s="54"/>
      <c r="I113" s="54"/>
      <c r="J113" s="54"/>
      <c r="K113" s="54"/>
      <c r="L113" s="54"/>
      <c r="M113" s="54"/>
      <c r="N113" s="54"/>
      <c r="O113" s="54"/>
      <c r="P113" s="54"/>
      <c r="Q113" s="54"/>
    </row>
    <row r="114" customFormat="false" ht="15" hidden="false" customHeight="false" outlineLevel="0" collapsed="false">
      <c r="B114" s="7" t="s">
        <v>162</v>
      </c>
      <c r="C114" s="55" t="n">
        <f aca="false">Checks!$AF$17</f>
        <v>0</v>
      </c>
      <c r="D114" s="54" t="str">
        <f aca="false">"Charges attached to open questions; may or may not be removed"</f>
        <v>Charges attached to open questions; may or may not be removed</v>
      </c>
      <c r="E114" s="54"/>
      <c r="F114" s="54"/>
      <c r="G114" s="54"/>
      <c r="H114" s="54"/>
      <c r="I114" s="54"/>
      <c r="J114" s="54"/>
      <c r="K114" s="54"/>
      <c r="L114" s="54"/>
      <c r="M114" s="54"/>
      <c r="N114" s="54"/>
      <c r="O114" s="54"/>
      <c r="P114" s="54"/>
      <c r="Q114" s="54"/>
    </row>
    <row r="115" customFormat="false" ht="15" hidden="false" customHeight="false" outlineLevel="0" collapsed="false">
      <c r="B115" s="7" t="s">
        <v>163</v>
      </c>
      <c r="C115" s="57" t="str">
        <f aca="false">Checks!$AF$23</f>
        <v>0 verified · 0 calculated, not independently verified · 0 with errors</v>
      </c>
      <c r="D115" s="57"/>
      <c r="E115" s="57"/>
      <c r="F115" s="57"/>
      <c r="G115" s="57"/>
      <c r="H115" s="57"/>
      <c r="I115" s="57"/>
      <c r="J115" s="57"/>
      <c r="K115" s="57"/>
      <c r="L115" s="57"/>
      <c r="M115" s="57"/>
      <c r="N115" s="57"/>
      <c r="O115" s="57"/>
      <c r="P115" s="57"/>
      <c r="Q115" s="57"/>
    </row>
    <row r="116" customFormat="false" ht="15" hidden="false" customHeight="false" outlineLevel="0" collapsed="false">
      <c r="B116" s="7" t="s">
        <v>164</v>
      </c>
      <c r="C116" s="57" t="str">
        <f aca="false">Checks!$AF$24</f>
        <v>Agreed rates (no rate agreement provided); market price levels (no benchmark used); duty and tax rates (to be confirmed by a licensed customs broker).</v>
      </c>
      <c r="D116" s="57"/>
      <c r="E116" s="57"/>
      <c r="F116" s="57"/>
      <c r="G116" s="57"/>
      <c r="H116" s="57"/>
      <c r="I116" s="57"/>
      <c r="J116" s="57"/>
      <c r="K116" s="57"/>
      <c r="L116" s="57"/>
      <c r="M116" s="57"/>
      <c r="N116" s="57"/>
      <c r="O116" s="57"/>
      <c r="P116" s="57"/>
      <c r="Q116" s="57"/>
    </row>
    <row r="117" customFormat="false" ht="15" hidden="false" customHeight="false" outlineLevel="0" collapsed="false">
      <c r="B117" s="58" t="s">
        <v>165</v>
      </c>
    </row>
    <row r="118" customFormat="false" ht="15" hidden="false" customHeight="true" outlineLevel="0" collapsed="false">
      <c r="A118" s="28" t="s">
        <v>128</v>
      </c>
      <c r="B118" s="28" t="s">
        <v>166</v>
      </c>
      <c r="C118" s="28" t="s">
        <v>167</v>
      </c>
      <c r="D118" s="28"/>
      <c r="E118" s="28" t="s">
        <v>168</v>
      </c>
      <c r="F118" s="28"/>
      <c r="G118" s="28"/>
      <c r="H118" s="28" t="s">
        <v>169</v>
      </c>
      <c r="I118" s="28"/>
      <c r="J118" s="28"/>
      <c r="K118" s="28"/>
      <c r="L118" s="28"/>
      <c r="M118" s="28"/>
      <c r="N118" s="28" t="s">
        <v>170</v>
      </c>
      <c r="O118" s="28"/>
      <c r="P118" s="28"/>
      <c r="Q118" s="28" t="s">
        <v>171</v>
      </c>
      <c r="R118" s="28"/>
    </row>
    <row r="119" customFormat="false" ht="39.75" hidden="false" customHeight="true" outlineLevel="0" collapsed="false">
      <c r="A119" s="59" t="str">
        <f aca="false">IF(Checks!$AJ$2="","",1)</f>
        <v/>
      </c>
      <c r="B119" s="59" t="str">
        <f aca="false">IF(Checks!$AJ$2="","",INDEX(Checks!$C$70:$C$470,Checks!$AJ$2))</f>
        <v/>
      </c>
      <c r="C119" s="59" t="str">
        <f aca="false">IF(Checks!$AJ$2="","",INDEX(Checks!$E$70:$E$470,Checks!$AJ$2))</f>
        <v/>
      </c>
      <c r="D119" s="59"/>
      <c r="E119" s="59" t="str">
        <f aca="false">IF(Checks!$AJ$2="","",INDEX(Checks!$F$70:$F$470,Checks!$AJ$2))</f>
        <v/>
      </c>
      <c r="F119" s="59"/>
      <c r="G119" s="59"/>
      <c r="H119" s="59" t="str">
        <f aca="false">IF(Checks!$AJ$2="","",INDEX(Checks!$G$70:$G$470,Checks!$AJ$2))</f>
        <v/>
      </c>
      <c r="I119" s="59"/>
      <c r="J119" s="59"/>
      <c r="K119" s="59"/>
      <c r="L119" s="59"/>
      <c r="M119" s="59"/>
      <c r="N119" s="59" t="str">
        <f aca="false">IF(Checks!$AJ$2="","",INDEX(Checks!$H$70:$H$470,Checks!$AJ$2))</f>
        <v/>
      </c>
      <c r="O119" s="59"/>
      <c r="P119" s="59"/>
      <c r="Q119" s="60" t="str">
        <f aca="false">IF(Checks!$AJ$2="","",INDEX(Checks!$I$70:$I$470,Checks!$AJ$2))</f>
        <v/>
      </c>
    </row>
    <row r="120" customFormat="false" ht="39.75" hidden="false" customHeight="true" outlineLevel="0" collapsed="false">
      <c r="A120" s="59" t="str">
        <f aca="false">IF(Checks!$AJ$3="","",2)</f>
        <v/>
      </c>
      <c r="B120" s="59" t="str">
        <f aca="false">IF(Checks!$AJ$3="","",INDEX(Checks!$C$70:$C$470,Checks!$AJ$3))</f>
        <v/>
      </c>
      <c r="C120" s="59" t="str">
        <f aca="false">IF(Checks!$AJ$3="","",INDEX(Checks!$E$70:$E$470,Checks!$AJ$3))</f>
        <v/>
      </c>
      <c r="D120" s="59"/>
      <c r="E120" s="59" t="str">
        <f aca="false">IF(Checks!$AJ$3="","",INDEX(Checks!$F$70:$F$470,Checks!$AJ$3))</f>
        <v/>
      </c>
      <c r="F120" s="59"/>
      <c r="G120" s="59"/>
      <c r="H120" s="59" t="str">
        <f aca="false">IF(Checks!$AJ$3="","",INDEX(Checks!$G$70:$G$470,Checks!$AJ$3))</f>
        <v/>
      </c>
      <c r="I120" s="59"/>
      <c r="J120" s="59"/>
      <c r="K120" s="59"/>
      <c r="L120" s="59"/>
      <c r="M120" s="59"/>
      <c r="N120" s="59" t="str">
        <f aca="false">IF(Checks!$AJ$3="","",INDEX(Checks!$H$70:$H$470,Checks!$AJ$3))</f>
        <v/>
      </c>
      <c r="O120" s="59"/>
      <c r="P120" s="59"/>
      <c r="Q120" s="60" t="str">
        <f aca="false">IF(Checks!$AJ$3="","",INDEX(Checks!$I$70:$I$470,Checks!$AJ$3))</f>
        <v/>
      </c>
    </row>
    <row r="121" customFormat="false" ht="39.75" hidden="false" customHeight="true" outlineLevel="0" collapsed="false">
      <c r="A121" s="59" t="str">
        <f aca="false">IF(Checks!$AJ$4="","",3)</f>
        <v/>
      </c>
      <c r="B121" s="59" t="str">
        <f aca="false">IF(Checks!$AJ$4="","",INDEX(Checks!$C$70:$C$470,Checks!$AJ$4))</f>
        <v/>
      </c>
      <c r="C121" s="59" t="str">
        <f aca="false">IF(Checks!$AJ$4="","",INDEX(Checks!$E$70:$E$470,Checks!$AJ$4))</f>
        <v/>
      </c>
      <c r="D121" s="59"/>
      <c r="E121" s="59" t="str">
        <f aca="false">IF(Checks!$AJ$4="","",INDEX(Checks!$F$70:$F$470,Checks!$AJ$4))</f>
        <v/>
      </c>
      <c r="F121" s="59"/>
      <c r="G121" s="59"/>
      <c r="H121" s="59" t="str">
        <f aca="false">IF(Checks!$AJ$4="","",INDEX(Checks!$G$70:$G$470,Checks!$AJ$4))</f>
        <v/>
      </c>
      <c r="I121" s="59"/>
      <c r="J121" s="59"/>
      <c r="K121" s="59"/>
      <c r="L121" s="59"/>
      <c r="M121" s="59"/>
      <c r="N121" s="59" t="str">
        <f aca="false">IF(Checks!$AJ$4="","",INDEX(Checks!$H$70:$H$470,Checks!$AJ$4))</f>
        <v/>
      </c>
      <c r="O121" s="59"/>
      <c r="P121" s="59"/>
      <c r="Q121" s="60" t="str">
        <f aca="false">IF(Checks!$AJ$4="","",INDEX(Checks!$I$70:$I$470,Checks!$AJ$4))</f>
        <v/>
      </c>
    </row>
    <row r="122" customFormat="false" ht="39.75" hidden="false" customHeight="true" outlineLevel="0" collapsed="false">
      <c r="A122" s="59" t="str">
        <f aca="false">IF(Checks!$AJ$5="","",4)</f>
        <v/>
      </c>
      <c r="B122" s="59" t="str">
        <f aca="false">IF(Checks!$AJ$5="","",INDEX(Checks!$C$70:$C$470,Checks!$AJ$5))</f>
        <v/>
      </c>
      <c r="C122" s="59" t="str">
        <f aca="false">IF(Checks!$AJ$5="","",INDEX(Checks!$E$70:$E$470,Checks!$AJ$5))</f>
        <v/>
      </c>
      <c r="D122" s="59"/>
      <c r="E122" s="59" t="str">
        <f aca="false">IF(Checks!$AJ$5="","",INDEX(Checks!$F$70:$F$470,Checks!$AJ$5))</f>
        <v/>
      </c>
      <c r="F122" s="59"/>
      <c r="G122" s="59"/>
      <c r="H122" s="59" t="str">
        <f aca="false">IF(Checks!$AJ$5="","",INDEX(Checks!$G$70:$G$470,Checks!$AJ$5))</f>
        <v/>
      </c>
      <c r="I122" s="59"/>
      <c r="J122" s="59"/>
      <c r="K122" s="59"/>
      <c r="L122" s="59"/>
      <c r="M122" s="59"/>
      <c r="N122" s="59" t="str">
        <f aca="false">IF(Checks!$AJ$5="","",INDEX(Checks!$H$70:$H$470,Checks!$AJ$5))</f>
        <v/>
      </c>
      <c r="O122" s="59"/>
      <c r="P122" s="59"/>
      <c r="Q122" s="60" t="str">
        <f aca="false">IF(Checks!$AJ$5="","",INDEX(Checks!$I$70:$I$470,Checks!$AJ$5))</f>
        <v/>
      </c>
    </row>
    <row r="123" customFormat="false" ht="39.75" hidden="false" customHeight="true" outlineLevel="0" collapsed="false">
      <c r="A123" s="59" t="str">
        <f aca="false">IF(Checks!$AJ$6="","",5)</f>
        <v/>
      </c>
      <c r="B123" s="59" t="str">
        <f aca="false">IF(Checks!$AJ$6="","",INDEX(Checks!$C$70:$C$470,Checks!$AJ$6))</f>
        <v/>
      </c>
      <c r="C123" s="59" t="str">
        <f aca="false">IF(Checks!$AJ$6="","",INDEX(Checks!$E$70:$E$470,Checks!$AJ$6))</f>
        <v/>
      </c>
      <c r="D123" s="59"/>
      <c r="E123" s="59" t="str">
        <f aca="false">IF(Checks!$AJ$6="","",INDEX(Checks!$F$70:$F$470,Checks!$AJ$6))</f>
        <v/>
      </c>
      <c r="F123" s="59"/>
      <c r="G123" s="59"/>
      <c r="H123" s="59" t="str">
        <f aca="false">IF(Checks!$AJ$6="","",INDEX(Checks!$G$70:$G$470,Checks!$AJ$6))</f>
        <v/>
      </c>
      <c r="I123" s="59"/>
      <c r="J123" s="59"/>
      <c r="K123" s="59"/>
      <c r="L123" s="59"/>
      <c r="M123" s="59"/>
      <c r="N123" s="59" t="str">
        <f aca="false">IF(Checks!$AJ$6="","",INDEX(Checks!$H$70:$H$470,Checks!$AJ$6))</f>
        <v/>
      </c>
      <c r="O123" s="59"/>
      <c r="P123" s="59"/>
      <c r="Q123" s="60" t="str">
        <f aca="false">IF(Checks!$AJ$6="","",INDEX(Checks!$I$70:$I$470,Checks!$AJ$6))</f>
        <v/>
      </c>
    </row>
    <row r="124" customFormat="false" ht="39.75" hidden="false" customHeight="true" outlineLevel="0" collapsed="false">
      <c r="A124" s="59" t="str">
        <f aca="false">IF(Checks!$AJ$7="","",6)</f>
        <v/>
      </c>
      <c r="B124" s="59" t="str">
        <f aca="false">IF(Checks!$AJ$7="","",INDEX(Checks!$C$70:$C$470,Checks!$AJ$7))</f>
        <v/>
      </c>
      <c r="C124" s="59" t="str">
        <f aca="false">IF(Checks!$AJ$7="","",INDEX(Checks!$E$70:$E$470,Checks!$AJ$7))</f>
        <v/>
      </c>
      <c r="D124" s="59"/>
      <c r="E124" s="59" t="str">
        <f aca="false">IF(Checks!$AJ$7="","",INDEX(Checks!$F$70:$F$470,Checks!$AJ$7))</f>
        <v/>
      </c>
      <c r="F124" s="59"/>
      <c r="G124" s="59"/>
      <c r="H124" s="59" t="str">
        <f aca="false">IF(Checks!$AJ$7="","",INDEX(Checks!$G$70:$G$470,Checks!$AJ$7))</f>
        <v/>
      </c>
      <c r="I124" s="59"/>
      <c r="J124" s="59"/>
      <c r="K124" s="59"/>
      <c r="L124" s="59"/>
      <c r="M124" s="59"/>
      <c r="N124" s="59" t="str">
        <f aca="false">IF(Checks!$AJ$7="","",INDEX(Checks!$H$70:$H$470,Checks!$AJ$7))</f>
        <v/>
      </c>
      <c r="O124" s="59"/>
      <c r="P124" s="59"/>
      <c r="Q124" s="60" t="str">
        <f aca="false">IF(Checks!$AJ$7="","",INDEX(Checks!$I$70:$I$470,Checks!$AJ$7))</f>
        <v/>
      </c>
    </row>
    <row r="125" customFormat="false" ht="39.75" hidden="false" customHeight="true" outlineLevel="0" collapsed="false">
      <c r="A125" s="59" t="str">
        <f aca="false">IF(Checks!$AJ$8="","",7)</f>
        <v/>
      </c>
      <c r="B125" s="59" t="str">
        <f aca="false">IF(Checks!$AJ$8="","",INDEX(Checks!$C$70:$C$470,Checks!$AJ$8))</f>
        <v/>
      </c>
      <c r="C125" s="59" t="str">
        <f aca="false">IF(Checks!$AJ$8="","",INDEX(Checks!$E$70:$E$470,Checks!$AJ$8))</f>
        <v/>
      </c>
      <c r="D125" s="59"/>
      <c r="E125" s="59" t="str">
        <f aca="false">IF(Checks!$AJ$8="","",INDEX(Checks!$F$70:$F$470,Checks!$AJ$8))</f>
        <v/>
      </c>
      <c r="F125" s="59"/>
      <c r="G125" s="59"/>
      <c r="H125" s="59" t="str">
        <f aca="false">IF(Checks!$AJ$8="","",INDEX(Checks!$G$70:$G$470,Checks!$AJ$8))</f>
        <v/>
      </c>
      <c r="I125" s="59"/>
      <c r="J125" s="59"/>
      <c r="K125" s="59"/>
      <c r="L125" s="59"/>
      <c r="M125" s="59"/>
      <c r="N125" s="59" t="str">
        <f aca="false">IF(Checks!$AJ$8="","",INDEX(Checks!$H$70:$H$470,Checks!$AJ$8))</f>
        <v/>
      </c>
      <c r="O125" s="59"/>
      <c r="P125" s="59"/>
      <c r="Q125" s="60" t="str">
        <f aca="false">IF(Checks!$AJ$8="","",INDEX(Checks!$I$70:$I$470,Checks!$AJ$8))</f>
        <v/>
      </c>
    </row>
    <row r="126" customFormat="false" ht="39.75" hidden="false" customHeight="true" outlineLevel="0" collapsed="false">
      <c r="A126" s="59" t="str">
        <f aca="false">IF(Checks!$AJ$9="","",8)</f>
        <v/>
      </c>
      <c r="B126" s="59" t="str">
        <f aca="false">IF(Checks!$AJ$9="","",INDEX(Checks!$C$70:$C$470,Checks!$AJ$9))</f>
        <v/>
      </c>
      <c r="C126" s="59" t="str">
        <f aca="false">IF(Checks!$AJ$9="","",INDEX(Checks!$E$70:$E$470,Checks!$AJ$9))</f>
        <v/>
      </c>
      <c r="D126" s="59"/>
      <c r="E126" s="59" t="str">
        <f aca="false">IF(Checks!$AJ$9="","",INDEX(Checks!$F$70:$F$470,Checks!$AJ$9))</f>
        <v/>
      </c>
      <c r="F126" s="59"/>
      <c r="G126" s="59"/>
      <c r="H126" s="59" t="str">
        <f aca="false">IF(Checks!$AJ$9="","",INDEX(Checks!$G$70:$G$470,Checks!$AJ$9))</f>
        <v/>
      </c>
      <c r="I126" s="59"/>
      <c r="J126" s="59"/>
      <c r="K126" s="59"/>
      <c r="L126" s="59"/>
      <c r="M126" s="59"/>
      <c r="N126" s="59" t="str">
        <f aca="false">IF(Checks!$AJ$9="","",INDEX(Checks!$H$70:$H$470,Checks!$AJ$9))</f>
        <v/>
      </c>
      <c r="O126" s="59"/>
      <c r="P126" s="59"/>
      <c r="Q126" s="60" t="str">
        <f aca="false">IF(Checks!$AJ$9="","",INDEX(Checks!$I$70:$I$470,Checks!$AJ$9))</f>
        <v/>
      </c>
    </row>
    <row r="127" customFormat="false" ht="39.75" hidden="false" customHeight="true" outlineLevel="0" collapsed="false">
      <c r="A127" s="59" t="str">
        <f aca="false">IF(Checks!$AJ$10="","",9)</f>
        <v/>
      </c>
      <c r="B127" s="59" t="str">
        <f aca="false">IF(Checks!$AJ$10="","",INDEX(Checks!$C$70:$C$470,Checks!$AJ$10))</f>
        <v/>
      </c>
      <c r="C127" s="59" t="str">
        <f aca="false">IF(Checks!$AJ$10="","",INDEX(Checks!$E$70:$E$470,Checks!$AJ$10))</f>
        <v/>
      </c>
      <c r="D127" s="59"/>
      <c r="E127" s="59" t="str">
        <f aca="false">IF(Checks!$AJ$10="","",INDEX(Checks!$F$70:$F$470,Checks!$AJ$10))</f>
        <v/>
      </c>
      <c r="F127" s="59"/>
      <c r="G127" s="59"/>
      <c r="H127" s="59" t="str">
        <f aca="false">IF(Checks!$AJ$10="","",INDEX(Checks!$G$70:$G$470,Checks!$AJ$10))</f>
        <v/>
      </c>
      <c r="I127" s="59"/>
      <c r="J127" s="59"/>
      <c r="K127" s="59"/>
      <c r="L127" s="59"/>
      <c r="M127" s="59"/>
      <c r="N127" s="59" t="str">
        <f aca="false">IF(Checks!$AJ$10="","",INDEX(Checks!$H$70:$H$470,Checks!$AJ$10))</f>
        <v/>
      </c>
      <c r="O127" s="59"/>
      <c r="P127" s="59"/>
      <c r="Q127" s="60" t="str">
        <f aca="false">IF(Checks!$AJ$10="","",INDEX(Checks!$I$70:$I$470,Checks!$AJ$10))</f>
        <v/>
      </c>
    </row>
    <row r="128" customFormat="false" ht="39.75" hidden="false" customHeight="true" outlineLevel="0" collapsed="false">
      <c r="A128" s="59" t="str">
        <f aca="false">IF(Checks!$AJ$11="","",10)</f>
        <v/>
      </c>
      <c r="B128" s="59" t="str">
        <f aca="false">IF(Checks!$AJ$11="","",INDEX(Checks!$C$70:$C$470,Checks!$AJ$11))</f>
        <v/>
      </c>
      <c r="C128" s="59" t="str">
        <f aca="false">IF(Checks!$AJ$11="","",INDEX(Checks!$E$70:$E$470,Checks!$AJ$11))</f>
        <v/>
      </c>
      <c r="D128" s="59"/>
      <c r="E128" s="59" t="str">
        <f aca="false">IF(Checks!$AJ$11="","",INDEX(Checks!$F$70:$F$470,Checks!$AJ$11))</f>
        <v/>
      </c>
      <c r="F128" s="59"/>
      <c r="G128" s="59"/>
      <c r="H128" s="59" t="str">
        <f aca="false">IF(Checks!$AJ$11="","",INDEX(Checks!$G$70:$G$470,Checks!$AJ$11))</f>
        <v/>
      </c>
      <c r="I128" s="59"/>
      <c r="J128" s="59"/>
      <c r="K128" s="59"/>
      <c r="L128" s="59"/>
      <c r="M128" s="59"/>
      <c r="N128" s="59" t="str">
        <f aca="false">IF(Checks!$AJ$11="","",INDEX(Checks!$H$70:$H$470,Checks!$AJ$11))</f>
        <v/>
      </c>
      <c r="O128" s="59"/>
      <c r="P128" s="59"/>
      <c r="Q128" s="60" t="str">
        <f aca="false">IF(Checks!$AJ$11="","",INDEX(Checks!$I$70:$I$470,Checks!$AJ$11))</f>
        <v/>
      </c>
    </row>
    <row r="129" customFormat="false" ht="39.75" hidden="false" customHeight="true" outlineLevel="0" collapsed="false">
      <c r="A129" s="59" t="str">
        <f aca="false">IF(Checks!$AJ$12="","",11)</f>
        <v/>
      </c>
      <c r="B129" s="59" t="str">
        <f aca="false">IF(Checks!$AJ$12="","",INDEX(Checks!$C$70:$C$470,Checks!$AJ$12))</f>
        <v/>
      </c>
      <c r="C129" s="59" t="str">
        <f aca="false">IF(Checks!$AJ$12="","",INDEX(Checks!$E$70:$E$470,Checks!$AJ$12))</f>
        <v/>
      </c>
      <c r="D129" s="59"/>
      <c r="E129" s="59" t="str">
        <f aca="false">IF(Checks!$AJ$12="","",INDEX(Checks!$F$70:$F$470,Checks!$AJ$12))</f>
        <v/>
      </c>
      <c r="F129" s="59"/>
      <c r="G129" s="59"/>
      <c r="H129" s="59" t="str">
        <f aca="false">IF(Checks!$AJ$12="","",INDEX(Checks!$G$70:$G$470,Checks!$AJ$12))</f>
        <v/>
      </c>
      <c r="I129" s="59"/>
      <c r="J129" s="59"/>
      <c r="K129" s="59"/>
      <c r="L129" s="59"/>
      <c r="M129" s="59"/>
      <c r="N129" s="59" t="str">
        <f aca="false">IF(Checks!$AJ$12="","",INDEX(Checks!$H$70:$H$470,Checks!$AJ$12))</f>
        <v/>
      </c>
      <c r="O129" s="59"/>
      <c r="P129" s="59"/>
      <c r="Q129" s="60" t="str">
        <f aca="false">IF(Checks!$AJ$12="","",INDEX(Checks!$I$70:$I$470,Checks!$AJ$12))</f>
        <v/>
      </c>
    </row>
    <row r="130" customFormat="false" ht="39.75" hidden="false" customHeight="true" outlineLevel="0" collapsed="false">
      <c r="A130" s="59" t="str">
        <f aca="false">IF(Checks!$AJ$13="","",12)</f>
        <v/>
      </c>
      <c r="B130" s="59" t="str">
        <f aca="false">IF(Checks!$AJ$13="","",INDEX(Checks!$C$70:$C$470,Checks!$AJ$13))</f>
        <v/>
      </c>
      <c r="C130" s="59" t="str">
        <f aca="false">IF(Checks!$AJ$13="","",INDEX(Checks!$E$70:$E$470,Checks!$AJ$13))</f>
        <v/>
      </c>
      <c r="D130" s="59"/>
      <c r="E130" s="59" t="str">
        <f aca="false">IF(Checks!$AJ$13="","",INDEX(Checks!$F$70:$F$470,Checks!$AJ$13))</f>
        <v/>
      </c>
      <c r="F130" s="59"/>
      <c r="G130" s="59"/>
      <c r="H130" s="59" t="str">
        <f aca="false">IF(Checks!$AJ$13="","",INDEX(Checks!$G$70:$G$470,Checks!$AJ$13))</f>
        <v/>
      </c>
      <c r="I130" s="59"/>
      <c r="J130" s="59"/>
      <c r="K130" s="59"/>
      <c r="L130" s="59"/>
      <c r="M130" s="59"/>
      <c r="N130" s="59" t="str">
        <f aca="false">IF(Checks!$AJ$13="","",INDEX(Checks!$H$70:$H$470,Checks!$AJ$13))</f>
        <v/>
      </c>
      <c r="O130" s="59"/>
      <c r="P130" s="59"/>
      <c r="Q130" s="60" t="str">
        <f aca="false">IF(Checks!$AJ$13="","",INDEX(Checks!$I$70:$I$470,Checks!$AJ$13))</f>
        <v/>
      </c>
    </row>
    <row r="131" customFormat="false" ht="39.75" hidden="false" customHeight="true" outlineLevel="0" collapsed="false">
      <c r="A131" s="59" t="str">
        <f aca="false">IF(Checks!$AJ$14="","",13)</f>
        <v/>
      </c>
      <c r="B131" s="59" t="str">
        <f aca="false">IF(Checks!$AJ$14="","",INDEX(Checks!$C$70:$C$470,Checks!$AJ$14))</f>
        <v/>
      </c>
      <c r="C131" s="59" t="str">
        <f aca="false">IF(Checks!$AJ$14="","",INDEX(Checks!$E$70:$E$470,Checks!$AJ$14))</f>
        <v/>
      </c>
      <c r="D131" s="59"/>
      <c r="E131" s="59" t="str">
        <f aca="false">IF(Checks!$AJ$14="","",INDEX(Checks!$F$70:$F$470,Checks!$AJ$14))</f>
        <v/>
      </c>
      <c r="F131" s="59"/>
      <c r="G131" s="59"/>
      <c r="H131" s="59" t="str">
        <f aca="false">IF(Checks!$AJ$14="","",INDEX(Checks!$G$70:$G$470,Checks!$AJ$14))</f>
        <v/>
      </c>
      <c r="I131" s="59"/>
      <c r="J131" s="59"/>
      <c r="K131" s="59"/>
      <c r="L131" s="59"/>
      <c r="M131" s="59"/>
      <c r="N131" s="59" t="str">
        <f aca="false">IF(Checks!$AJ$14="","",INDEX(Checks!$H$70:$H$470,Checks!$AJ$14))</f>
        <v/>
      </c>
      <c r="O131" s="59"/>
      <c r="P131" s="59"/>
      <c r="Q131" s="60" t="str">
        <f aca="false">IF(Checks!$AJ$14="","",INDEX(Checks!$I$70:$I$470,Checks!$AJ$14))</f>
        <v/>
      </c>
    </row>
    <row r="132" customFormat="false" ht="39.75" hidden="false" customHeight="true" outlineLevel="0" collapsed="false">
      <c r="A132" s="59" t="str">
        <f aca="false">IF(Checks!$AJ$15="","",14)</f>
        <v/>
      </c>
      <c r="B132" s="59" t="str">
        <f aca="false">IF(Checks!$AJ$15="","",INDEX(Checks!$C$70:$C$470,Checks!$AJ$15))</f>
        <v/>
      </c>
      <c r="C132" s="59" t="str">
        <f aca="false">IF(Checks!$AJ$15="","",INDEX(Checks!$E$70:$E$470,Checks!$AJ$15))</f>
        <v/>
      </c>
      <c r="D132" s="59"/>
      <c r="E132" s="59" t="str">
        <f aca="false">IF(Checks!$AJ$15="","",INDEX(Checks!$F$70:$F$470,Checks!$AJ$15))</f>
        <v/>
      </c>
      <c r="F132" s="59"/>
      <c r="G132" s="59"/>
      <c r="H132" s="59" t="str">
        <f aca="false">IF(Checks!$AJ$15="","",INDEX(Checks!$G$70:$G$470,Checks!$AJ$15))</f>
        <v/>
      </c>
      <c r="I132" s="59"/>
      <c r="J132" s="59"/>
      <c r="K132" s="59"/>
      <c r="L132" s="59"/>
      <c r="M132" s="59"/>
      <c r="N132" s="59" t="str">
        <f aca="false">IF(Checks!$AJ$15="","",INDEX(Checks!$H$70:$H$470,Checks!$AJ$15))</f>
        <v/>
      </c>
      <c r="O132" s="59"/>
      <c r="P132" s="59"/>
      <c r="Q132" s="60" t="str">
        <f aca="false">IF(Checks!$AJ$15="","",INDEX(Checks!$I$70:$I$470,Checks!$AJ$15))</f>
        <v/>
      </c>
    </row>
    <row r="133" customFormat="false" ht="39.75" hidden="false" customHeight="true" outlineLevel="0" collapsed="false">
      <c r="A133" s="59" t="str">
        <f aca="false">IF(Checks!$AJ$16="","",15)</f>
        <v/>
      </c>
      <c r="B133" s="59" t="str">
        <f aca="false">IF(Checks!$AJ$16="","",INDEX(Checks!$C$70:$C$470,Checks!$AJ$16))</f>
        <v/>
      </c>
      <c r="C133" s="59" t="str">
        <f aca="false">IF(Checks!$AJ$16="","",INDEX(Checks!$E$70:$E$470,Checks!$AJ$16))</f>
        <v/>
      </c>
      <c r="D133" s="59"/>
      <c r="E133" s="59" t="str">
        <f aca="false">IF(Checks!$AJ$16="","",INDEX(Checks!$F$70:$F$470,Checks!$AJ$16))</f>
        <v/>
      </c>
      <c r="F133" s="59"/>
      <c r="G133" s="59"/>
      <c r="H133" s="59" t="str">
        <f aca="false">IF(Checks!$AJ$16="","",INDEX(Checks!$G$70:$G$470,Checks!$AJ$16))</f>
        <v/>
      </c>
      <c r="I133" s="59"/>
      <c r="J133" s="59"/>
      <c r="K133" s="59"/>
      <c r="L133" s="59"/>
      <c r="M133" s="59"/>
      <c r="N133" s="59" t="str">
        <f aca="false">IF(Checks!$AJ$16="","",INDEX(Checks!$H$70:$H$470,Checks!$AJ$16))</f>
        <v/>
      </c>
      <c r="O133" s="59"/>
      <c r="P133" s="59"/>
      <c r="Q133" s="60" t="str">
        <f aca="false">IF(Checks!$AJ$16="","",INDEX(Checks!$I$70:$I$470,Checks!$AJ$16))</f>
        <v/>
      </c>
    </row>
    <row r="134" customFormat="false" ht="39.75" hidden="false" customHeight="true" outlineLevel="0" collapsed="false">
      <c r="A134" s="59" t="str">
        <f aca="false">IF(Checks!$AJ$17="","",16)</f>
        <v/>
      </c>
      <c r="B134" s="59" t="str">
        <f aca="false">IF(Checks!$AJ$17="","",INDEX(Checks!$C$70:$C$470,Checks!$AJ$17))</f>
        <v/>
      </c>
      <c r="C134" s="59" t="str">
        <f aca="false">IF(Checks!$AJ$17="","",INDEX(Checks!$E$70:$E$470,Checks!$AJ$17))</f>
        <v/>
      </c>
      <c r="D134" s="59"/>
      <c r="E134" s="59" t="str">
        <f aca="false">IF(Checks!$AJ$17="","",INDEX(Checks!$F$70:$F$470,Checks!$AJ$17))</f>
        <v/>
      </c>
      <c r="F134" s="59"/>
      <c r="G134" s="59"/>
      <c r="H134" s="59" t="str">
        <f aca="false">IF(Checks!$AJ$17="","",INDEX(Checks!$G$70:$G$470,Checks!$AJ$17))</f>
        <v/>
      </c>
      <c r="I134" s="59"/>
      <c r="J134" s="59"/>
      <c r="K134" s="59"/>
      <c r="L134" s="59"/>
      <c r="M134" s="59"/>
      <c r="N134" s="59" t="str">
        <f aca="false">IF(Checks!$AJ$17="","",INDEX(Checks!$H$70:$H$470,Checks!$AJ$17))</f>
        <v/>
      </c>
      <c r="O134" s="59"/>
      <c r="P134" s="59"/>
      <c r="Q134" s="60" t="str">
        <f aca="false">IF(Checks!$AJ$17="","",INDEX(Checks!$I$70:$I$470,Checks!$AJ$17))</f>
        <v/>
      </c>
    </row>
    <row r="135" customFormat="false" ht="39.75" hidden="false" customHeight="true" outlineLevel="0" collapsed="false">
      <c r="A135" s="59" t="str">
        <f aca="false">IF(Checks!$AJ$18="","",17)</f>
        <v/>
      </c>
      <c r="B135" s="59" t="str">
        <f aca="false">IF(Checks!$AJ$18="","",INDEX(Checks!$C$70:$C$470,Checks!$AJ$18))</f>
        <v/>
      </c>
      <c r="C135" s="59" t="str">
        <f aca="false">IF(Checks!$AJ$18="","",INDEX(Checks!$E$70:$E$470,Checks!$AJ$18))</f>
        <v/>
      </c>
      <c r="D135" s="59"/>
      <c r="E135" s="59" t="str">
        <f aca="false">IF(Checks!$AJ$18="","",INDEX(Checks!$F$70:$F$470,Checks!$AJ$18))</f>
        <v/>
      </c>
      <c r="F135" s="59"/>
      <c r="G135" s="59"/>
      <c r="H135" s="59" t="str">
        <f aca="false">IF(Checks!$AJ$18="","",INDEX(Checks!$G$70:$G$470,Checks!$AJ$18))</f>
        <v/>
      </c>
      <c r="I135" s="59"/>
      <c r="J135" s="59"/>
      <c r="K135" s="59"/>
      <c r="L135" s="59"/>
      <c r="M135" s="59"/>
      <c r="N135" s="59" t="str">
        <f aca="false">IF(Checks!$AJ$18="","",INDEX(Checks!$H$70:$H$470,Checks!$AJ$18))</f>
        <v/>
      </c>
      <c r="O135" s="59"/>
      <c r="P135" s="59"/>
      <c r="Q135" s="60" t="str">
        <f aca="false">IF(Checks!$AJ$18="","",INDEX(Checks!$I$70:$I$470,Checks!$AJ$18))</f>
        <v/>
      </c>
    </row>
    <row r="136" customFormat="false" ht="39.75" hidden="false" customHeight="true" outlineLevel="0" collapsed="false">
      <c r="A136" s="59" t="str">
        <f aca="false">IF(Checks!$AJ$19="","",18)</f>
        <v/>
      </c>
      <c r="B136" s="59" t="str">
        <f aca="false">IF(Checks!$AJ$19="","",INDEX(Checks!$C$70:$C$470,Checks!$AJ$19))</f>
        <v/>
      </c>
      <c r="C136" s="59" t="str">
        <f aca="false">IF(Checks!$AJ$19="","",INDEX(Checks!$E$70:$E$470,Checks!$AJ$19))</f>
        <v/>
      </c>
      <c r="D136" s="59"/>
      <c r="E136" s="59" t="str">
        <f aca="false">IF(Checks!$AJ$19="","",INDEX(Checks!$F$70:$F$470,Checks!$AJ$19))</f>
        <v/>
      </c>
      <c r="F136" s="59"/>
      <c r="G136" s="59"/>
      <c r="H136" s="59" t="str">
        <f aca="false">IF(Checks!$AJ$19="","",INDEX(Checks!$G$70:$G$470,Checks!$AJ$19))</f>
        <v/>
      </c>
      <c r="I136" s="59"/>
      <c r="J136" s="59"/>
      <c r="K136" s="59"/>
      <c r="L136" s="59"/>
      <c r="M136" s="59"/>
      <c r="N136" s="59" t="str">
        <f aca="false">IF(Checks!$AJ$19="","",INDEX(Checks!$H$70:$H$470,Checks!$AJ$19))</f>
        <v/>
      </c>
      <c r="O136" s="59"/>
      <c r="P136" s="59"/>
      <c r="Q136" s="60" t="str">
        <f aca="false">IF(Checks!$AJ$19="","",INDEX(Checks!$I$70:$I$470,Checks!$AJ$19))</f>
        <v/>
      </c>
    </row>
    <row r="137" customFormat="false" ht="39.75" hidden="false" customHeight="true" outlineLevel="0" collapsed="false">
      <c r="A137" s="59" t="str">
        <f aca="false">IF(Checks!$AJ$20="","",19)</f>
        <v/>
      </c>
      <c r="B137" s="59" t="str">
        <f aca="false">IF(Checks!$AJ$20="","",INDEX(Checks!$C$70:$C$470,Checks!$AJ$20))</f>
        <v/>
      </c>
      <c r="C137" s="59" t="str">
        <f aca="false">IF(Checks!$AJ$20="","",INDEX(Checks!$E$70:$E$470,Checks!$AJ$20))</f>
        <v/>
      </c>
      <c r="D137" s="59"/>
      <c r="E137" s="59" t="str">
        <f aca="false">IF(Checks!$AJ$20="","",INDEX(Checks!$F$70:$F$470,Checks!$AJ$20))</f>
        <v/>
      </c>
      <c r="F137" s="59"/>
      <c r="G137" s="59"/>
      <c r="H137" s="59" t="str">
        <f aca="false">IF(Checks!$AJ$20="","",INDEX(Checks!$G$70:$G$470,Checks!$AJ$20))</f>
        <v/>
      </c>
      <c r="I137" s="59"/>
      <c r="J137" s="59"/>
      <c r="K137" s="59"/>
      <c r="L137" s="59"/>
      <c r="M137" s="59"/>
      <c r="N137" s="59" t="str">
        <f aca="false">IF(Checks!$AJ$20="","",INDEX(Checks!$H$70:$H$470,Checks!$AJ$20))</f>
        <v/>
      </c>
      <c r="O137" s="59"/>
      <c r="P137" s="59"/>
      <c r="Q137" s="60" t="str">
        <f aca="false">IF(Checks!$AJ$20="","",INDEX(Checks!$I$70:$I$470,Checks!$AJ$20))</f>
        <v/>
      </c>
    </row>
    <row r="138" customFormat="false" ht="39.75" hidden="false" customHeight="true" outlineLevel="0" collapsed="false">
      <c r="A138" s="59" t="str">
        <f aca="false">IF(Checks!$AJ$21="","",20)</f>
        <v/>
      </c>
      <c r="B138" s="59" t="str">
        <f aca="false">IF(Checks!$AJ$21="","",INDEX(Checks!$C$70:$C$470,Checks!$AJ$21))</f>
        <v/>
      </c>
      <c r="C138" s="59" t="str">
        <f aca="false">IF(Checks!$AJ$21="","",INDEX(Checks!$E$70:$E$470,Checks!$AJ$21))</f>
        <v/>
      </c>
      <c r="D138" s="59"/>
      <c r="E138" s="59" t="str">
        <f aca="false">IF(Checks!$AJ$21="","",INDEX(Checks!$F$70:$F$470,Checks!$AJ$21))</f>
        <v/>
      </c>
      <c r="F138" s="59"/>
      <c r="G138" s="59"/>
      <c r="H138" s="59" t="str">
        <f aca="false">IF(Checks!$AJ$21="","",INDEX(Checks!$G$70:$G$470,Checks!$AJ$21))</f>
        <v/>
      </c>
      <c r="I138" s="59"/>
      <c r="J138" s="59"/>
      <c r="K138" s="59"/>
      <c r="L138" s="59"/>
      <c r="M138" s="59"/>
      <c r="N138" s="59" t="str">
        <f aca="false">IF(Checks!$AJ$21="","",INDEX(Checks!$H$70:$H$470,Checks!$AJ$21))</f>
        <v/>
      </c>
      <c r="O138" s="59"/>
      <c r="P138" s="59"/>
      <c r="Q138" s="60" t="str">
        <f aca="false">IF(Checks!$AJ$21="","",INDEX(Checks!$I$70:$I$470,Checks!$AJ$21))</f>
        <v/>
      </c>
    </row>
    <row r="139" customFormat="false" ht="39.75" hidden="false" customHeight="true" outlineLevel="0" collapsed="false">
      <c r="A139" s="59" t="str">
        <f aca="false">IF(Checks!$AJ$22="","",21)</f>
        <v/>
      </c>
      <c r="B139" s="59" t="str">
        <f aca="false">IF(Checks!$AJ$22="","",INDEX(Checks!$C$70:$C$470,Checks!$AJ$22))</f>
        <v/>
      </c>
      <c r="C139" s="59" t="str">
        <f aca="false">IF(Checks!$AJ$22="","",INDEX(Checks!$E$70:$E$470,Checks!$AJ$22))</f>
        <v/>
      </c>
      <c r="D139" s="59"/>
      <c r="E139" s="59" t="str">
        <f aca="false">IF(Checks!$AJ$22="","",INDEX(Checks!$F$70:$F$470,Checks!$AJ$22))</f>
        <v/>
      </c>
      <c r="F139" s="59"/>
      <c r="G139" s="59"/>
      <c r="H139" s="59" t="str">
        <f aca="false">IF(Checks!$AJ$22="","",INDEX(Checks!$G$70:$G$470,Checks!$AJ$22))</f>
        <v/>
      </c>
      <c r="I139" s="59"/>
      <c r="J139" s="59"/>
      <c r="K139" s="59"/>
      <c r="L139" s="59"/>
      <c r="M139" s="59"/>
      <c r="N139" s="59" t="str">
        <f aca="false">IF(Checks!$AJ$22="","",INDEX(Checks!$H$70:$H$470,Checks!$AJ$22))</f>
        <v/>
      </c>
      <c r="O139" s="59"/>
      <c r="P139" s="59"/>
      <c r="Q139" s="60" t="str">
        <f aca="false">IF(Checks!$AJ$22="","",INDEX(Checks!$I$70:$I$470,Checks!$AJ$22))</f>
        <v/>
      </c>
    </row>
    <row r="140" customFormat="false" ht="39.75" hidden="false" customHeight="true" outlineLevel="0" collapsed="false">
      <c r="A140" s="59" t="str">
        <f aca="false">IF(Checks!$AJ$23="","",22)</f>
        <v/>
      </c>
      <c r="B140" s="59" t="str">
        <f aca="false">IF(Checks!$AJ$23="","",INDEX(Checks!$C$70:$C$470,Checks!$AJ$23))</f>
        <v/>
      </c>
      <c r="C140" s="59" t="str">
        <f aca="false">IF(Checks!$AJ$23="","",INDEX(Checks!$E$70:$E$470,Checks!$AJ$23))</f>
        <v/>
      </c>
      <c r="D140" s="59"/>
      <c r="E140" s="59" t="str">
        <f aca="false">IF(Checks!$AJ$23="","",INDEX(Checks!$F$70:$F$470,Checks!$AJ$23))</f>
        <v/>
      </c>
      <c r="F140" s="59"/>
      <c r="G140" s="59"/>
      <c r="H140" s="59" t="str">
        <f aca="false">IF(Checks!$AJ$23="","",INDEX(Checks!$G$70:$G$470,Checks!$AJ$23))</f>
        <v/>
      </c>
      <c r="I140" s="59"/>
      <c r="J140" s="59"/>
      <c r="K140" s="59"/>
      <c r="L140" s="59"/>
      <c r="M140" s="59"/>
      <c r="N140" s="59" t="str">
        <f aca="false">IF(Checks!$AJ$23="","",INDEX(Checks!$H$70:$H$470,Checks!$AJ$23))</f>
        <v/>
      </c>
      <c r="O140" s="59"/>
      <c r="P140" s="59"/>
      <c r="Q140" s="60" t="str">
        <f aca="false">IF(Checks!$AJ$23="","",INDEX(Checks!$I$70:$I$470,Checks!$AJ$23))</f>
        <v/>
      </c>
    </row>
    <row r="141" customFormat="false" ht="39.75" hidden="false" customHeight="true" outlineLevel="0" collapsed="false">
      <c r="A141" s="59" t="str">
        <f aca="false">IF(Checks!$AJ$24="","",23)</f>
        <v/>
      </c>
      <c r="B141" s="59" t="str">
        <f aca="false">IF(Checks!$AJ$24="","",INDEX(Checks!$C$70:$C$470,Checks!$AJ$24))</f>
        <v/>
      </c>
      <c r="C141" s="59" t="str">
        <f aca="false">IF(Checks!$AJ$24="","",INDEX(Checks!$E$70:$E$470,Checks!$AJ$24))</f>
        <v/>
      </c>
      <c r="D141" s="59"/>
      <c r="E141" s="59" t="str">
        <f aca="false">IF(Checks!$AJ$24="","",INDEX(Checks!$F$70:$F$470,Checks!$AJ$24))</f>
        <v/>
      </c>
      <c r="F141" s="59"/>
      <c r="G141" s="59"/>
      <c r="H141" s="59" t="str">
        <f aca="false">IF(Checks!$AJ$24="","",INDEX(Checks!$G$70:$G$470,Checks!$AJ$24))</f>
        <v/>
      </c>
      <c r="I141" s="59"/>
      <c r="J141" s="59"/>
      <c r="K141" s="59"/>
      <c r="L141" s="59"/>
      <c r="M141" s="59"/>
      <c r="N141" s="59" t="str">
        <f aca="false">IF(Checks!$AJ$24="","",INDEX(Checks!$H$70:$H$470,Checks!$AJ$24))</f>
        <v/>
      </c>
      <c r="O141" s="59"/>
      <c r="P141" s="59"/>
      <c r="Q141" s="60" t="str">
        <f aca="false">IF(Checks!$AJ$24="","",INDEX(Checks!$I$70:$I$470,Checks!$AJ$24))</f>
        <v/>
      </c>
    </row>
    <row r="142" customFormat="false" ht="39.75" hidden="false" customHeight="true" outlineLevel="0" collapsed="false">
      <c r="A142" s="59" t="str">
        <f aca="false">IF(Checks!$AJ$25="","",24)</f>
        <v/>
      </c>
      <c r="B142" s="59" t="str">
        <f aca="false">IF(Checks!$AJ$25="","",INDEX(Checks!$C$70:$C$470,Checks!$AJ$25))</f>
        <v/>
      </c>
      <c r="C142" s="59" t="str">
        <f aca="false">IF(Checks!$AJ$25="","",INDEX(Checks!$E$70:$E$470,Checks!$AJ$25))</f>
        <v/>
      </c>
      <c r="D142" s="59"/>
      <c r="E142" s="59" t="str">
        <f aca="false">IF(Checks!$AJ$25="","",INDEX(Checks!$F$70:$F$470,Checks!$AJ$25))</f>
        <v/>
      </c>
      <c r="F142" s="59"/>
      <c r="G142" s="59"/>
      <c r="H142" s="59" t="str">
        <f aca="false">IF(Checks!$AJ$25="","",INDEX(Checks!$G$70:$G$470,Checks!$AJ$25))</f>
        <v/>
      </c>
      <c r="I142" s="59"/>
      <c r="J142" s="59"/>
      <c r="K142" s="59"/>
      <c r="L142" s="59"/>
      <c r="M142" s="59"/>
      <c r="N142" s="59" t="str">
        <f aca="false">IF(Checks!$AJ$25="","",INDEX(Checks!$H$70:$H$470,Checks!$AJ$25))</f>
        <v/>
      </c>
      <c r="O142" s="59"/>
      <c r="P142" s="59"/>
      <c r="Q142" s="60" t="str">
        <f aca="false">IF(Checks!$AJ$25="","",INDEX(Checks!$I$70:$I$470,Checks!$AJ$25))</f>
        <v/>
      </c>
    </row>
    <row r="143" customFormat="false" ht="39.75" hidden="false" customHeight="true" outlineLevel="0" collapsed="false">
      <c r="A143" s="59" t="str">
        <f aca="false">IF(Checks!$AJ$26="","",25)</f>
        <v/>
      </c>
      <c r="B143" s="59" t="str">
        <f aca="false">IF(Checks!$AJ$26="","",INDEX(Checks!$C$70:$C$470,Checks!$AJ$26))</f>
        <v/>
      </c>
      <c r="C143" s="59" t="str">
        <f aca="false">IF(Checks!$AJ$26="","",INDEX(Checks!$E$70:$E$470,Checks!$AJ$26))</f>
        <v/>
      </c>
      <c r="D143" s="59"/>
      <c r="E143" s="59" t="str">
        <f aca="false">IF(Checks!$AJ$26="","",INDEX(Checks!$F$70:$F$470,Checks!$AJ$26))</f>
        <v/>
      </c>
      <c r="F143" s="59"/>
      <c r="G143" s="59"/>
      <c r="H143" s="59" t="str">
        <f aca="false">IF(Checks!$AJ$26="","",INDEX(Checks!$G$70:$G$470,Checks!$AJ$26))</f>
        <v/>
      </c>
      <c r="I143" s="59"/>
      <c r="J143" s="59"/>
      <c r="K143" s="59"/>
      <c r="L143" s="59"/>
      <c r="M143" s="59"/>
      <c r="N143" s="59" t="str">
        <f aca="false">IF(Checks!$AJ$26="","",INDEX(Checks!$H$70:$H$470,Checks!$AJ$26))</f>
        <v/>
      </c>
      <c r="O143" s="59"/>
      <c r="P143" s="59"/>
      <c r="Q143" s="60" t="str">
        <f aca="false">IF(Checks!$AJ$26="","",INDEX(Checks!$I$70:$I$470,Checks!$AJ$26))</f>
        <v/>
      </c>
    </row>
    <row r="144" customFormat="false" ht="39.75" hidden="false" customHeight="true" outlineLevel="0" collapsed="false">
      <c r="A144" s="59" t="str">
        <f aca="false">IF(Checks!$AJ$27="","",26)</f>
        <v/>
      </c>
      <c r="B144" s="59" t="str">
        <f aca="false">IF(Checks!$AJ$27="","",INDEX(Checks!$C$70:$C$470,Checks!$AJ$27))</f>
        <v/>
      </c>
      <c r="C144" s="59" t="str">
        <f aca="false">IF(Checks!$AJ$27="","",INDEX(Checks!$E$70:$E$470,Checks!$AJ$27))</f>
        <v/>
      </c>
      <c r="D144" s="59"/>
      <c r="E144" s="59" t="str">
        <f aca="false">IF(Checks!$AJ$27="","",INDEX(Checks!$F$70:$F$470,Checks!$AJ$27))</f>
        <v/>
      </c>
      <c r="F144" s="59"/>
      <c r="G144" s="59"/>
      <c r="H144" s="59" t="str">
        <f aca="false">IF(Checks!$AJ$27="","",INDEX(Checks!$G$70:$G$470,Checks!$AJ$27))</f>
        <v/>
      </c>
      <c r="I144" s="59"/>
      <c r="J144" s="59"/>
      <c r="K144" s="59"/>
      <c r="L144" s="59"/>
      <c r="M144" s="59"/>
      <c r="N144" s="59" t="str">
        <f aca="false">IF(Checks!$AJ$27="","",INDEX(Checks!$H$70:$H$470,Checks!$AJ$27))</f>
        <v/>
      </c>
      <c r="O144" s="59"/>
      <c r="P144" s="59"/>
      <c r="Q144" s="60" t="str">
        <f aca="false">IF(Checks!$AJ$27="","",INDEX(Checks!$I$70:$I$470,Checks!$AJ$27))</f>
        <v/>
      </c>
    </row>
    <row r="145" customFormat="false" ht="39.75" hidden="false" customHeight="true" outlineLevel="0" collapsed="false">
      <c r="A145" s="59" t="str">
        <f aca="false">IF(Checks!$AJ$28="","",27)</f>
        <v/>
      </c>
      <c r="B145" s="59" t="str">
        <f aca="false">IF(Checks!$AJ$28="","",INDEX(Checks!$C$70:$C$470,Checks!$AJ$28))</f>
        <v/>
      </c>
      <c r="C145" s="59" t="str">
        <f aca="false">IF(Checks!$AJ$28="","",INDEX(Checks!$E$70:$E$470,Checks!$AJ$28))</f>
        <v/>
      </c>
      <c r="D145" s="59"/>
      <c r="E145" s="59" t="str">
        <f aca="false">IF(Checks!$AJ$28="","",INDEX(Checks!$F$70:$F$470,Checks!$AJ$28))</f>
        <v/>
      </c>
      <c r="F145" s="59"/>
      <c r="G145" s="59"/>
      <c r="H145" s="59" t="str">
        <f aca="false">IF(Checks!$AJ$28="","",INDEX(Checks!$G$70:$G$470,Checks!$AJ$28))</f>
        <v/>
      </c>
      <c r="I145" s="59"/>
      <c r="J145" s="59"/>
      <c r="K145" s="59"/>
      <c r="L145" s="59"/>
      <c r="M145" s="59"/>
      <c r="N145" s="59" t="str">
        <f aca="false">IF(Checks!$AJ$28="","",INDEX(Checks!$H$70:$H$470,Checks!$AJ$28))</f>
        <v/>
      </c>
      <c r="O145" s="59"/>
      <c r="P145" s="59"/>
      <c r="Q145" s="60" t="str">
        <f aca="false">IF(Checks!$AJ$28="","",INDEX(Checks!$I$70:$I$470,Checks!$AJ$28))</f>
        <v/>
      </c>
    </row>
    <row r="146" customFormat="false" ht="39.75" hidden="false" customHeight="true" outlineLevel="0" collapsed="false">
      <c r="A146" s="59" t="str">
        <f aca="false">IF(Checks!$AJ$29="","",28)</f>
        <v/>
      </c>
      <c r="B146" s="59" t="str">
        <f aca="false">IF(Checks!$AJ$29="","",INDEX(Checks!$C$70:$C$470,Checks!$AJ$29))</f>
        <v/>
      </c>
      <c r="C146" s="59" t="str">
        <f aca="false">IF(Checks!$AJ$29="","",INDEX(Checks!$E$70:$E$470,Checks!$AJ$29))</f>
        <v/>
      </c>
      <c r="D146" s="59"/>
      <c r="E146" s="59" t="str">
        <f aca="false">IF(Checks!$AJ$29="","",INDEX(Checks!$F$70:$F$470,Checks!$AJ$29))</f>
        <v/>
      </c>
      <c r="F146" s="59"/>
      <c r="G146" s="59"/>
      <c r="H146" s="59" t="str">
        <f aca="false">IF(Checks!$AJ$29="","",INDEX(Checks!$G$70:$G$470,Checks!$AJ$29))</f>
        <v/>
      </c>
      <c r="I146" s="59"/>
      <c r="J146" s="59"/>
      <c r="K146" s="59"/>
      <c r="L146" s="59"/>
      <c r="M146" s="59"/>
      <c r="N146" s="59" t="str">
        <f aca="false">IF(Checks!$AJ$29="","",INDEX(Checks!$H$70:$H$470,Checks!$AJ$29))</f>
        <v/>
      </c>
      <c r="O146" s="59"/>
      <c r="P146" s="59"/>
      <c r="Q146" s="60" t="str">
        <f aca="false">IF(Checks!$AJ$29="","",INDEX(Checks!$I$70:$I$470,Checks!$AJ$29))</f>
        <v/>
      </c>
    </row>
    <row r="147" customFormat="false" ht="39.75" hidden="false" customHeight="true" outlineLevel="0" collapsed="false">
      <c r="A147" s="59" t="str">
        <f aca="false">IF(Checks!$AJ$30="","",29)</f>
        <v/>
      </c>
      <c r="B147" s="59" t="str">
        <f aca="false">IF(Checks!$AJ$30="","",INDEX(Checks!$C$70:$C$470,Checks!$AJ$30))</f>
        <v/>
      </c>
      <c r="C147" s="59" t="str">
        <f aca="false">IF(Checks!$AJ$30="","",INDEX(Checks!$E$70:$E$470,Checks!$AJ$30))</f>
        <v/>
      </c>
      <c r="D147" s="59"/>
      <c r="E147" s="59" t="str">
        <f aca="false">IF(Checks!$AJ$30="","",INDEX(Checks!$F$70:$F$470,Checks!$AJ$30))</f>
        <v/>
      </c>
      <c r="F147" s="59"/>
      <c r="G147" s="59"/>
      <c r="H147" s="59" t="str">
        <f aca="false">IF(Checks!$AJ$30="","",INDEX(Checks!$G$70:$G$470,Checks!$AJ$30))</f>
        <v/>
      </c>
      <c r="I147" s="59"/>
      <c r="J147" s="59"/>
      <c r="K147" s="59"/>
      <c r="L147" s="59"/>
      <c r="M147" s="59"/>
      <c r="N147" s="59" t="str">
        <f aca="false">IF(Checks!$AJ$30="","",INDEX(Checks!$H$70:$H$470,Checks!$AJ$30))</f>
        <v/>
      </c>
      <c r="O147" s="59"/>
      <c r="P147" s="59"/>
      <c r="Q147" s="60" t="str">
        <f aca="false">IF(Checks!$AJ$30="","",INDEX(Checks!$I$70:$I$470,Checks!$AJ$30))</f>
        <v/>
      </c>
    </row>
    <row r="148" customFormat="false" ht="39.75" hidden="false" customHeight="true" outlineLevel="0" collapsed="false">
      <c r="A148" s="59" t="str">
        <f aca="false">IF(Checks!$AJ$31="","",30)</f>
        <v/>
      </c>
      <c r="B148" s="59" t="str">
        <f aca="false">IF(Checks!$AJ$31="","",INDEX(Checks!$C$70:$C$470,Checks!$AJ$31))</f>
        <v/>
      </c>
      <c r="C148" s="59" t="str">
        <f aca="false">IF(Checks!$AJ$31="","",INDEX(Checks!$E$70:$E$470,Checks!$AJ$31))</f>
        <v/>
      </c>
      <c r="D148" s="59"/>
      <c r="E148" s="59" t="str">
        <f aca="false">IF(Checks!$AJ$31="","",INDEX(Checks!$F$70:$F$470,Checks!$AJ$31))</f>
        <v/>
      </c>
      <c r="F148" s="59"/>
      <c r="G148" s="59"/>
      <c r="H148" s="59" t="str">
        <f aca="false">IF(Checks!$AJ$31="","",INDEX(Checks!$G$70:$G$470,Checks!$AJ$31))</f>
        <v/>
      </c>
      <c r="I148" s="59"/>
      <c r="J148" s="59"/>
      <c r="K148" s="59"/>
      <c r="L148" s="59"/>
      <c r="M148" s="59"/>
      <c r="N148" s="59" t="str">
        <f aca="false">IF(Checks!$AJ$31="","",INDEX(Checks!$H$70:$H$470,Checks!$AJ$31))</f>
        <v/>
      </c>
      <c r="O148" s="59"/>
      <c r="P148" s="59"/>
      <c r="Q148" s="60" t="str">
        <f aca="false">IF(Checks!$AJ$31="","",INDEX(Checks!$I$70:$I$470,Checks!$AJ$31))</f>
        <v/>
      </c>
    </row>
  </sheetData>
  <mergeCells count="265">
    <mergeCell ref="C3:F3"/>
    <mergeCell ref="G3:I3"/>
    <mergeCell ref="J3:K3"/>
    <mergeCell ref="L3:Q3"/>
    <mergeCell ref="B5:Q5"/>
    <mergeCell ref="C6:E6"/>
    <mergeCell ref="G6:I6"/>
    <mergeCell ref="J6:N6"/>
    <mergeCell ref="C7:E7"/>
    <mergeCell ref="G7:I7"/>
    <mergeCell ref="J7:N7"/>
    <mergeCell ref="C8:E8"/>
    <mergeCell ref="G8:I8"/>
    <mergeCell ref="J8:N8"/>
    <mergeCell ref="C9:E9"/>
    <mergeCell ref="G9:I9"/>
    <mergeCell ref="J9:N9"/>
    <mergeCell ref="C10:E10"/>
    <mergeCell ref="G10:I10"/>
    <mergeCell ref="J10:N10"/>
    <mergeCell ref="C11:E11"/>
    <mergeCell ref="G11:I11"/>
    <mergeCell ref="J11:N11"/>
    <mergeCell ref="C12:E12"/>
    <mergeCell ref="G12:I12"/>
    <mergeCell ref="J12:N12"/>
    <mergeCell ref="C13:E13"/>
    <mergeCell ref="G13:I13"/>
    <mergeCell ref="J13:N13"/>
    <mergeCell ref="C14:E14"/>
    <mergeCell ref="G14:I14"/>
    <mergeCell ref="J14:N14"/>
    <mergeCell ref="C15:E15"/>
    <mergeCell ref="G15:I15"/>
    <mergeCell ref="J15:N15"/>
    <mergeCell ref="C16:E16"/>
    <mergeCell ref="G16:I16"/>
    <mergeCell ref="J16:N16"/>
    <mergeCell ref="C17:E17"/>
    <mergeCell ref="G17:I17"/>
    <mergeCell ref="J17:N17"/>
    <mergeCell ref="C18:E18"/>
    <mergeCell ref="G18:I18"/>
    <mergeCell ref="J18:N18"/>
    <mergeCell ref="C19:E19"/>
    <mergeCell ref="G19:I19"/>
    <mergeCell ref="J19:N19"/>
    <mergeCell ref="C20:E20"/>
    <mergeCell ref="G20:I20"/>
    <mergeCell ref="J20:N20"/>
    <mergeCell ref="C21:E21"/>
    <mergeCell ref="G21:I21"/>
    <mergeCell ref="J21:N21"/>
    <mergeCell ref="B22:Q22"/>
    <mergeCell ref="C23:E23"/>
    <mergeCell ref="G23:I23"/>
    <mergeCell ref="J23:N23"/>
    <mergeCell ref="C24:E24"/>
    <mergeCell ref="G24:I24"/>
    <mergeCell ref="J24:N24"/>
    <mergeCell ref="C25:E25"/>
    <mergeCell ref="G25:I25"/>
    <mergeCell ref="J25:N25"/>
    <mergeCell ref="C26:E26"/>
    <mergeCell ref="G26:I26"/>
    <mergeCell ref="J26:N26"/>
    <mergeCell ref="C27:E27"/>
    <mergeCell ref="G27:I27"/>
    <mergeCell ref="J27:N27"/>
    <mergeCell ref="C28:E28"/>
    <mergeCell ref="G28:I28"/>
    <mergeCell ref="J28:N28"/>
    <mergeCell ref="C29:E29"/>
    <mergeCell ref="G29:I29"/>
    <mergeCell ref="J29:N29"/>
    <mergeCell ref="C30:E30"/>
    <mergeCell ref="G30:I30"/>
    <mergeCell ref="J30:N30"/>
    <mergeCell ref="C31:E31"/>
    <mergeCell ref="G31:I31"/>
    <mergeCell ref="J31:N31"/>
    <mergeCell ref="C32:E32"/>
    <mergeCell ref="G32:I32"/>
    <mergeCell ref="J32:N32"/>
    <mergeCell ref="C33:E33"/>
    <mergeCell ref="G33:I33"/>
    <mergeCell ref="J33:N33"/>
    <mergeCell ref="H34:N34"/>
    <mergeCell ref="H35:N35"/>
    <mergeCell ref="H36:N36"/>
    <mergeCell ref="H37:N37"/>
    <mergeCell ref="H38:N38"/>
    <mergeCell ref="G39:I39"/>
    <mergeCell ref="J39:K39"/>
    <mergeCell ref="L39:N39"/>
    <mergeCell ref="B41:Q41"/>
    <mergeCell ref="D42:F42"/>
    <mergeCell ref="H42:I42"/>
    <mergeCell ref="J42:L42"/>
    <mergeCell ref="M42:N42"/>
    <mergeCell ref="D43:F43"/>
    <mergeCell ref="H43:I43"/>
    <mergeCell ref="J43:L43"/>
    <mergeCell ref="M43:N43"/>
    <mergeCell ref="D44:F44"/>
    <mergeCell ref="H44:I44"/>
    <mergeCell ref="J44:L44"/>
    <mergeCell ref="M44:N44"/>
    <mergeCell ref="D45:F45"/>
    <mergeCell ref="H45:I45"/>
    <mergeCell ref="J45:L45"/>
    <mergeCell ref="M45:N45"/>
    <mergeCell ref="D46:F46"/>
    <mergeCell ref="H46:I46"/>
    <mergeCell ref="J46:L46"/>
    <mergeCell ref="M46:N46"/>
    <mergeCell ref="D47:F47"/>
    <mergeCell ref="H47:I47"/>
    <mergeCell ref="J47:L47"/>
    <mergeCell ref="M47:N47"/>
    <mergeCell ref="D48:F48"/>
    <mergeCell ref="H48:I48"/>
    <mergeCell ref="J48:L48"/>
    <mergeCell ref="M48:N48"/>
    <mergeCell ref="D49:F49"/>
    <mergeCell ref="H49:I49"/>
    <mergeCell ref="J49:L49"/>
    <mergeCell ref="M49:N49"/>
    <mergeCell ref="B51:Q51"/>
    <mergeCell ref="B104:O104"/>
    <mergeCell ref="B107:Q107"/>
    <mergeCell ref="C108:F108"/>
    <mergeCell ref="G108:Q108"/>
    <mergeCell ref="D109:Q109"/>
    <mergeCell ref="D110:Q110"/>
    <mergeCell ref="D111:Q111"/>
    <mergeCell ref="D112:Q112"/>
    <mergeCell ref="D113:Q113"/>
    <mergeCell ref="D114:Q114"/>
    <mergeCell ref="C115:Q115"/>
    <mergeCell ref="C116:Q116"/>
    <mergeCell ref="C118:D118"/>
    <mergeCell ref="E118:G118"/>
    <mergeCell ref="H118:M118"/>
    <mergeCell ref="N118:P118"/>
    <mergeCell ref="C119:D119"/>
    <mergeCell ref="E119:G119"/>
    <mergeCell ref="H119:M119"/>
    <mergeCell ref="N119:P119"/>
    <mergeCell ref="C120:D120"/>
    <mergeCell ref="E120:G120"/>
    <mergeCell ref="H120:M120"/>
    <mergeCell ref="N120:P120"/>
    <mergeCell ref="C121:D121"/>
    <mergeCell ref="E121:G121"/>
    <mergeCell ref="H121:M121"/>
    <mergeCell ref="N121:P121"/>
    <mergeCell ref="C122:D122"/>
    <mergeCell ref="E122:G122"/>
    <mergeCell ref="H122:M122"/>
    <mergeCell ref="N122:P122"/>
    <mergeCell ref="C123:D123"/>
    <mergeCell ref="E123:G123"/>
    <mergeCell ref="H123:M123"/>
    <mergeCell ref="N123:P123"/>
    <mergeCell ref="C124:D124"/>
    <mergeCell ref="E124:G124"/>
    <mergeCell ref="H124:M124"/>
    <mergeCell ref="N124:P124"/>
    <mergeCell ref="C125:D125"/>
    <mergeCell ref="E125:G125"/>
    <mergeCell ref="H125:M125"/>
    <mergeCell ref="N125:P125"/>
    <mergeCell ref="C126:D126"/>
    <mergeCell ref="E126:G126"/>
    <mergeCell ref="H126:M126"/>
    <mergeCell ref="N126:P126"/>
    <mergeCell ref="C127:D127"/>
    <mergeCell ref="E127:G127"/>
    <mergeCell ref="H127:M127"/>
    <mergeCell ref="N127:P127"/>
    <mergeCell ref="C128:D128"/>
    <mergeCell ref="E128:G128"/>
    <mergeCell ref="H128:M128"/>
    <mergeCell ref="N128:P128"/>
    <mergeCell ref="C129:D129"/>
    <mergeCell ref="E129:G129"/>
    <mergeCell ref="H129:M129"/>
    <mergeCell ref="N129:P129"/>
    <mergeCell ref="C130:D130"/>
    <mergeCell ref="E130:G130"/>
    <mergeCell ref="H130:M130"/>
    <mergeCell ref="N130:P130"/>
    <mergeCell ref="C131:D131"/>
    <mergeCell ref="E131:G131"/>
    <mergeCell ref="H131:M131"/>
    <mergeCell ref="N131:P131"/>
    <mergeCell ref="C132:D132"/>
    <mergeCell ref="E132:G132"/>
    <mergeCell ref="H132:M132"/>
    <mergeCell ref="N132:P132"/>
    <mergeCell ref="C133:D133"/>
    <mergeCell ref="E133:G133"/>
    <mergeCell ref="H133:M133"/>
    <mergeCell ref="N133:P133"/>
    <mergeCell ref="C134:D134"/>
    <mergeCell ref="E134:G134"/>
    <mergeCell ref="H134:M134"/>
    <mergeCell ref="N134:P134"/>
    <mergeCell ref="C135:D135"/>
    <mergeCell ref="E135:G135"/>
    <mergeCell ref="H135:M135"/>
    <mergeCell ref="N135:P135"/>
    <mergeCell ref="C136:D136"/>
    <mergeCell ref="E136:G136"/>
    <mergeCell ref="H136:M136"/>
    <mergeCell ref="N136:P136"/>
    <mergeCell ref="C137:D137"/>
    <mergeCell ref="E137:G137"/>
    <mergeCell ref="H137:M137"/>
    <mergeCell ref="N137:P137"/>
    <mergeCell ref="C138:D138"/>
    <mergeCell ref="E138:G138"/>
    <mergeCell ref="H138:M138"/>
    <mergeCell ref="N138:P138"/>
    <mergeCell ref="C139:D139"/>
    <mergeCell ref="E139:G139"/>
    <mergeCell ref="H139:M139"/>
    <mergeCell ref="N139:P139"/>
    <mergeCell ref="C140:D140"/>
    <mergeCell ref="E140:G140"/>
    <mergeCell ref="H140:M140"/>
    <mergeCell ref="N140:P140"/>
    <mergeCell ref="C141:D141"/>
    <mergeCell ref="E141:G141"/>
    <mergeCell ref="H141:M141"/>
    <mergeCell ref="N141:P141"/>
    <mergeCell ref="C142:D142"/>
    <mergeCell ref="E142:G142"/>
    <mergeCell ref="H142:M142"/>
    <mergeCell ref="N142:P142"/>
    <mergeCell ref="C143:D143"/>
    <mergeCell ref="E143:G143"/>
    <mergeCell ref="H143:M143"/>
    <mergeCell ref="N143:P143"/>
    <mergeCell ref="C144:D144"/>
    <mergeCell ref="E144:G144"/>
    <mergeCell ref="H144:M144"/>
    <mergeCell ref="N144:P144"/>
    <mergeCell ref="C145:D145"/>
    <mergeCell ref="E145:G145"/>
    <mergeCell ref="H145:M145"/>
    <mergeCell ref="N145:P145"/>
    <mergeCell ref="C146:D146"/>
    <mergeCell ref="E146:G146"/>
    <mergeCell ref="H146:M146"/>
    <mergeCell ref="N146:P146"/>
    <mergeCell ref="C147:D147"/>
    <mergeCell ref="E147:G147"/>
    <mergeCell ref="H147:M147"/>
    <mergeCell ref="N147:P147"/>
    <mergeCell ref="C148:D148"/>
    <mergeCell ref="E148:G148"/>
    <mergeCell ref="H148:M148"/>
    <mergeCell ref="N148:P148"/>
  </mergeCells>
  <conditionalFormatting sqref="B119:B148">
    <cfRule type="expression" priority="2" aboveAverage="0" equalAverage="0" bottom="0" percent="0" rank="0" text="" dxfId="0">
      <formula>$B119="Error"</formula>
    </cfRule>
    <cfRule type="expression" priority="3" aboveAverage="0" equalAverage="0" bottom="0" percent="0" rank="0" text="" dxfId="1">
      <formula>$B119="Risk"</formula>
    </cfRule>
    <cfRule type="expression" priority="4" aboveAverage="0" equalAverage="0" bottom="0" percent="0" rank="0" text="" dxfId="2">
      <formula>$B119="Question"</formula>
    </cfRule>
  </conditionalFormatting>
  <conditionalFormatting sqref="C3">
    <cfRule type="expression" priority="5" aboveAverage="0" equalAverage="0" bottom="0" percent="0" rank="0" text="" dxfId="3">
      <formula>LEFT(C3,5)="Audit"</formula>
    </cfRule>
    <cfRule type="expression" priority="6" aboveAverage="0" equalAverage="0" bottom="0" percent="0" rank="0" text="" dxfId="4">
      <formula>LEFT(C3,5)="Corre"</formula>
    </cfRule>
    <cfRule type="expression" priority="7" aboveAverage="0" equalAverage="0" bottom="0" percent="0" rank="0" text="" dxfId="5">
      <formula>LEFT(C3,5)="Needs"</formula>
    </cfRule>
  </conditionalFormatting>
  <conditionalFormatting sqref="C108">
    <cfRule type="expression" priority="8" aboveAverage="0" equalAverage="0" bottom="0" percent="0" rank="0" text="" dxfId="3">
      <formula>LEFT(C108,5)="Audit"</formula>
    </cfRule>
    <cfRule type="expression" priority="9" aboveAverage="0" equalAverage="0" bottom="0" percent="0" rank="0" text="" dxfId="4">
      <formula>LEFT(C108,5)="Corre"</formula>
    </cfRule>
    <cfRule type="expression" priority="10" aboveAverage="0" equalAverage="0" bottom="0" percent="0" rank="0" text="" dxfId="5">
      <formula>LEFT(C108,5)="Needs"</formula>
    </cfRule>
  </conditionalFormatting>
  <conditionalFormatting sqref="Q54:Q103">
    <cfRule type="expression" priority="11" aboveAverage="0" equalAverage="0" bottom="0" percent="0" rank="0" text="" dxfId="6">
      <formula>LEFT($Q54,8)="Verified"</formula>
    </cfRule>
    <cfRule type="expression" priority="12" aboveAverage="0" equalAverage="0" bottom="0" percent="0" rank="0" text="" dxfId="0">
      <formula>LEFT($Q54,5)="Error"</formula>
    </cfRule>
  </conditionalFormatting>
  <conditionalFormatting sqref="H35:H38">
    <cfRule type="expression" priority="13" aboveAverage="0" equalAverage="0" bottom="0" percent="0" rank="0" text="" dxfId="7">
      <formula>LEFT($H35,5)="ERROR"</formula>
    </cfRule>
    <cfRule type="expression" priority="14" aboveAverage="0" equalAverage="0" bottom="0" percent="0" rank="0" text="" dxfId="8">
      <formula>LEFT($H35,6)="Review"</formula>
    </cfRule>
  </conditionalFormatting>
  <conditionalFormatting sqref="H43:H49">
    <cfRule type="expression" priority="15" aboveAverage="0" equalAverage="0" bottom="0" percent="0" rank="0" text="" dxfId="9">
      <formula>AND($C43="Yes",OR($H43="Not addressed",$H43="Excluded",$H43="Unpriced"))</formula>
    </cfRule>
  </conditionalFormatting>
  <dataValidations count="12">
    <dataValidation allowBlank="true" errorStyle="stop" operator="between" showDropDown="false" showErrorMessage="false" showInputMessage="false" sqref="J17:J19 C18:C19 C29 G37:G38 C43:C49" type="list">
      <formula1>"Yes,No"</formula1>
      <formula2>0</formula2>
    </dataValidation>
    <dataValidation allowBlank="true" errorStyle="stop" operator="between" showDropDown="false" showErrorMessage="false" showInputMessage="false" sqref="J16 C17 C20 J20:J21" type="list">
      <formula1>"Yes,No,Unknown"</formula1>
      <formula2>0</formula2>
    </dataValidation>
    <dataValidation allowBlank="true" errorStyle="stop" operator="between" showDropDown="false" showErrorMessage="false" showInputMessage="false" sqref="J7" type="list">
      <formula1>"Buyer,Seller,Other"</formula1>
      <formula2>0</formula2>
    </dataValidation>
    <dataValidation allowBlank="true" errorStyle="stop" operator="between" showDropDown="false" showErrorMessage="false" showInputMessage="false" sqref="J25" type="list">
      <formula1>"Sea FCL,Sea LCL,Air"</formula1>
      <formula2>0</formula2>
    </dataValidation>
    <dataValidation allowBlank="true" errorStyle="stop" operator="between" showDropDown="false" showErrorMessage="false" showInputMessage="false" sqref="J26" type="list">
      <formula1>"20GP,40GP,40HC,45HC,Other"</formula1>
      <formula2>0</formula2>
    </dataValidation>
    <dataValidation allowBlank="true" errorStyle="stop" operator="between" showDropDown="false" showErrorMessage="false" showInputMessage="false" sqref="J29" type="list">
      <formula1>"Yes,No,Partly"</formula1>
      <formula2>0</formula2>
    </dataValidation>
    <dataValidation allowBlank="true" errorStyle="stop" operator="between" showDropDown="false" showErrorMessage="false" showInputMessage="false" sqref="C8" type="list">
      <formula1>Lists!$I$4:$I$14</formula1>
      <formula2>0</formula2>
    </dataValidation>
    <dataValidation allowBlank="true" errorStyle="stop" operator="between" showDropDown="false" showErrorMessage="false" showInputMessage="false" sqref="G43:G49" type="list">
      <formula1>"Included,Excluded,Not applicable"</formula1>
      <formula2>0</formula2>
    </dataValidation>
    <dataValidation allowBlank="true" errorStyle="stop" operator="between" showDropDown="false" showErrorMessage="false" showInputMessage="false" sqref="C54:C103" type="list">
      <formula1>Lists!$A$4:$A$16</formula1>
      <formula2>0</formula2>
    </dataValidation>
    <dataValidation allowBlank="true" errorStyle="stop" operator="between" showDropDown="false" showErrorMessage="false" showInputMessage="false" sqref="D54:D103" type="list">
      <formula1>Lists!$E$4:$E$14</formula1>
      <formula2>0</formula2>
    </dataValidation>
    <dataValidation allowBlank="true" errorStyle="stop" operator="between" showDropDown="false" showErrorMessage="false" showInputMessage="false" sqref="G54:G103" type="list">
      <formula1>Lists!$G$4:$G$11</formula1>
      <formula2>0</formula2>
    </dataValidation>
    <dataValidation allowBlank="true" errorStyle="stop" operator="between" showDropDown="false" showErrorMessage="false" showInputMessage="false" sqref="N54:N103" type="list">
      <formula1>Lists!$A$21:$A$25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true"/>
  </sheetPr>
  <dimension ref="A1:F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7"/>
    <col collapsed="false" customWidth="true" hidden="false" outlineLevel="0" max="4" min="4" style="0" width="26"/>
    <col collapsed="false" customWidth="true" hidden="false" outlineLevel="0" max="5" min="5" style="0" width="40"/>
    <col collapsed="false" customWidth="true" hidden="false" outlineLevel="0" max="6" min="6" style="0" width="15"/>
  </cols>
  <sheetData>
    <row r="1" customFormat="false" ht="15" hidden="false" customHeight="false" outlineLevel="0" collapsed="false">
      <c r="A1" s="61" t="s">
        <v>172</v>
      </c>
      <c r="E1" s="62" t="str">
        <f aca="false">"Prepared for: "&amp;Audit!$C$7</f>
        <v>Prepared for: </v>
      </c>
    </row>
    <row r="2" customFormat="false" ht="19.7" hidden="false" customHeight="false" outlineLevel="0" collapsed="false">
      <c r="A2" s="1" t="s">
        <v>173</v>
      </c>
      <c r="E2" s="62" t="str">
        <f aca="false">"By: "&amp;Audit!$C$21&amp;"   ·   Audit date: "&amp;IF(ISNUMBER(Audit!$J$6),TEXT(Audit!$J$6,"d mmm yyyy"),"")</f>
        <v>By:    ·   Audit date: </v>
      </c>
    </row>
    <row r="3" customFormat="false" ht="15" hidden="false" customHeight="false" outlineLevel="0" collapsed="false">
      <c r="E3" s="62" t="str">
        <f aca="false">"Reference: "&amp;Audit!$C$6</f>
        <v>Reference: </v>
      </c>
    </row>
    <row r="5" customFormat="false" ht="42" hidden="false" customHeight="true" outlineLevel="0" collapsed="false">
      <c r="A5" s="63" t="s">
        <v>134</v>
      </c>
      <c r="B5" s="63"/>
      <c r="C5" s="19" t="str">
        <f aca="false">Checks!$AF$2</f>
        <v>Not started</v>
      </c>
      <c r="D5" s="19"/>
      <c r="E5" s="64" t="str">
        <f aca="false">Checks!$AF$21</f>
        <v>Enter shipment, quotation and charge details to start the audit.</v>
      </c>
      <c r="F5" s="64"/>
    </row>
    <row r="7" customFormat="false" ht="15" hidden="false" customHeight="false" outlineLevel="0" collapsed="false">
      <c r="A7" s="65" t="s">
        <v>174</v>
      </c>
      <c r="B7" s="65"/>
      <c r="C7" s="65"/>
      <c r="D7" s="65"/>
      <c r="E7" s="65"/>
      <c r="F7" s="65"/>
    </row>
    <row r="8" customFormat="false" ht="30" hidden="false" customHeight="true" outlineLevel="0" collapsed="false">
      <c r="A8" s="66" t="s">
        <v>79</v>
      </c>
      <c r="B8" s="66"/>
      <c r="C8" s="67" t="n">
        <f aca="false">Audit!$C$23</f>
        <v>0</v>
      </c>
      <c r="D8" s="17" t="s">
        <v>175</v>
      </c>
      <c r="E8" s="64" t="str">
        <f aca="false">"Freight: "&amp;IF(ISNUMBER(Audit!$J$24),TEXT(Audit!$J$24,"d mmm yyyy"),"not stated")&amp;"  ·  origin charges: "&amp;IF(ISNUMBER(Audit!$C$33),TEXT(Audit!$C$33,"d mmm yyyy"),"Not Confirmed")&amp;"  ·  destination charges: "&amp;IF(ISNUMBER(Audit!$J$33),TEXT(Audit!$J$33,"d mmm yyyy"),"Not Confirmed")</f>
        <v>Freight: not stated  ·  origin charges: Not Confirmed  ·  destination charges: Not Confirmed</v>
      </c>
      <c r="F8" s="64"/>
    </row>
    <row r="9" customFormat="false" ht="30" hidden="false" customHeight="true" outlineLevel="0" collapsed="false">
      <c r="A9" s="66" t="s">
        <v>113</v>
      </c>
      <c r="B9" s="66"/>
      <c r="C9" s="67" t="str">
        <f aca="false">Audit!$J$25&amp;IF(Audit!$J$25="Sea FCL","  ·  "&amp;Audit!$C$26&amp;" x "&amp;Audit!$J$26,"")</f>
        <v/>
      </c>
      <c r="D9" s="17" t="s">
        <v>176</v>
      </c>
      <c r="E9" s="64" t="str">
        <f aca="false">Audit!$C$9&amp;" to "&amp;Audit!$J$9&amp;IF(Audit!$J$27&lt;&gt;"","  ("&amp;Audit!$J$27&amp;")","")</f>
        <v> to </v>
      </c>
      <c r="F9" s="64"/>
    </row>
    <row r="10" customFormat="false" ht="30" hidden="false" customHeight="true" outlineLevel="0" collapsed="false">
      <c r="A10" s="66" t="s">
        <v>177</v>
      </c>
      <c r="B10" s="66"/>
      <c r="C10" s="67" t="str">
        <f aca="false">Audit!$J$13&amp;" pcs  ·  "&amp;Audit!$C$14&amp;" cartons  ·  "&amp;Audit!$J$14&amp;" pallets"</f>
        <v> pcs  ·   cartons  ·   pallets</v>
      </c>
      <c r="D10" s="17" t="s">
        <v>178</v>
      </c>
      <c r="E10" s="64" t="str">
        <f aca="false">TEXT(Audit!$C$15,"#,##0.##")&amp;" kg  ·  "&amp;TEXT(Audit!$J$15,"#,##0.###")&amp;" CBM  ·  "&amp;Audit!$C$8&amp;" "&amp;Audit!$J$8</f>
        <v>0 kg  ·  0 CBM  ·   </v>
      </c>
      <c r="F10" s="64"/>
    </row>
    <row r="12" customFormat="false" ht="15" hidden="false" customHeight="false" outlineLevel="0" collapsed="false">
      <c r="A12" s="65" t="s">
        <v>179</v>
      </c>
      <c r="B12" s="65"/>
      <c r="C12" s="65"/>
      <c r="D12" s="65"/>
      <c r="E12" s="65"/>
      <c r="F12" s="65"/>
    </row>
    <row r="13" customFormat="false" ht="24" hidden="false" customHeight="true" outlineLevel="0" collapsed="false">
      <c r="A13" s="68" t="str">
        <f aca="false">Checks!$AF$20</f>
        <v>Known Firm Charges — Not All-In</v>
      </c>
      <c r="B13" s="68"/>
      <c r="C13" s="68"/>
      <c r="D13" s="69" t="n">
        <f aca="false">Checks!$AF$10</f>
        <v>0</v>
      </c>
      <c r="E13" s="70" t="str">
        <f aca="false">Checks!$AF$22</f>
        <v>Not all-in: </v>
      </c>
      <c r="F13" s="70"/>
    </row>
    <row r="14" customFormat="false" ht="18" hidden="false" customHeight="true" outlineLevel="0" collapsed="false">
      <c r="A14" s="71" t="s">
        <v>158</v>
      </c>
      <c r="B14" s="71"/>
      <c r="C14" s="71"/>
      <c r="D14" s="72" t="n">
        <f aca="false">Checks!$AF$11</f>
        <v>0</v>
      </c>
      <c r="E14" s="73"/>
      <c r="F14" s="73"/>
    </row>
    <row r="15" customFormat="false" ht="18" hidden="false" customHeight="true" outlineLevel="0" collapsed="false">
      <c r="A15" s="71" t="s">
        <v>180</v>
      </c>
      <c r="B15" s="71"/>
      <c r="C15" s="71"/>
      <c r="D15" s="72" t="n">
        <f aca="false">Checks!$AF$13</f>
        <v>0</v>
      </c>
      <c r="E15" s="73" t="str">
        <f aca="false">"Plus "&amp;Checks!$AF$14&amp;" if-required item(s) with no amount"</f>
        <v>Plus 0 if-required item(s) with no amount</v>
      </c>
      <c r="F15" s="73"/>
    </row>
    <row r="16" customFormat="false" ht="18" hidden="false" customHeight="true" outlineLevel="0" collapsed="false">
      <c r="A16" s="71" t="s">
        <v>160</v>
      </c>
      <c r="B16" s="71"/>
      <c r="C16" s="71"/>
      <c r="D16" s="74" t="n">
        <f aca="false">Checks!$AF$15</f>
        <v>0</v>
      </c>
      <c r="E16" s="73"/>
      <c r="F16" s="73"/>
    </row>
    <row r="17" customFormat="false" ht="18" hidden="false" customHeight="true" outlineLevel="0" collapsed="false">
      <c r="A17" s="71" t="s">
        <v>181</v>
      </c>
      <c r="B17" s="71"/>
      <c r="C17" s="71"/>
      <c r="D17" s="72" t="n">
        <f aca="false">Checks!$AF$16</f>
        <v>0</v>
      </c>
      <c r="E17" s="73"/>
      <c r="F17" s="73"/>
    </row>
    <row r="18" customFormat="false" ht="18" hidden="false" customHeight="true" outlineLevel="0" collapsed="false">
      <c r="A18" s="71" t="s">
        <v>182</v>
      </c>
      <c r="B18" s="71"/>
      <c r="C18" s="71"/>
      <c r="D18" s="72" t="n">
        <f aca="false">Checks!$AF$17</f>
        <v>0</v>
      </c>
      <c r="E18" s="73"/>
      <c r="F18" s="73"/>
    </row>
    <row r="20" customFormat="false" ht="15" hidden="false" customHeight="false" outlineLevel="0" collapsed="false">
      <c r="A20" s="65" t="s">
        <v>183</v>
      </c>
      <c r="B20" s="65"/>
      <c r="C20" s="65"/>
      <c r="D20" s="65"/>
      <c r="E20" s="65"/>
      <c r="F20" s="65"/>
    </row>
    <row r="21" customFormat="false" ht="15" hidden="false" customHeight="false" outlineLevel="0" collapsed="false">
      <c r="A21" s="75" t="s">
        <v>113</v>
      </c>
      <c r="B21" s="75"/>
      <c r="C21" s="76" t="s">
        <v>184</v>
      </c>
      <c r="D21" s="76" t="s">
        <v>185</v>
      </c>
      <c r="E21" s="76" t="s">
        <v>186</v>
      </c>
      <c r="F21" s="76" t="s">
        <v>187</v>
      </c>
    </row>
    <row r="22" customFormat="false" ht="15" hidden="false" customHeight="false" outlineLevel="0" collapsed="false">
      <c r="A22" s="77" t="str">
        <f aca="false">Audit!$B$43</f>
        <v>Pickup</v>
      </c>
      <c r="B22" s="77"/>
      <c r="C22" s="77" t="str">
        <f aca="false">IF(Audit!$C$43="","-",Audit!$C$43)</f>
        <v>-</v>
      </c>
      <c r="D22" s="77" t="str">
        <f aca="false">Audit!$H$43</f>
        <v>-</v>
      </c>
      <c r="E22" s="77" t="str">
        <f aca="false">IF(Audit!$M$43="","-",Audit!$M$43)</f>
        <v>-</v>
      </c>
      <c r="F22" s="78" t="n">
        <f aca="false">Audit!$J$43</f>
        <v>0</v>
      </c>
    </row>
    <row r="23" customFormat="false" ht="15" hidden="false" customHeight="false" outlineLevel="0" collapsed="false">
      <c r="A23" s="77" t="str">
        <f aca="false">Audit!$B$44</f>
        <v>Export &amp; origin</v>
      </c>
      <c r="B23" s="77"/>
      <c r="C23" s="77" t="str">
        <f aca="false">IF(Audit!$C$44="","-",Audit!$C$44)</f>
        <v>-</v>
      </c>
      <c r="D23" s="77" t="str">
        <f aca="false">Audit!$H$44</f>
        <v>-</v>
      </c>
      <c r="E23" s="77" t="str">
        <f aca="false">IF(Audit!$M$44="","-",Audit!$M$44)</f>
        <v>-</v>
      </c>
      <c r="F23" s="78" t="n">
        <f aca="false">Audit!$J$44</f>
        <v>0</v>
      </c>
    </row>
    <row r="24" customFormat="false" ht="15" hidden="false" customHeight="false" outlineLevel="0" collapsed="false">
      <c r="A24" s="77" t="str">
        <f aca="false">Audit!$B$45</f>
        <v>Main freight</v>
      </c>
      <c r="B24" s="77"/>
      <c r="C24" s="77" t="str">
        <f aca="false">IF(Audit!$C$45="","-",Audit!$C$45)</f>
        <v>-</v>
      </c>
      <c r="D24" s="77" t="str">
        <f aca="false">Audit!$H$45</f>
        <v>-</v>
      </c>
      <c r="E24" s="77" t="str">
        <f aca="false">IF(Audit!$M$45="","-",Audit!$M$45)</f>
        <v>-</v>
      </c>
      <c r="F24" s="78" t="n">
        <f aca="false">Audit!$J$45</f>
        <v>0</v>
      </c>
    </row>
    <row r="25" customFormat="false" ht="15" hidden="false" customHeight="false" outlineLevel="0" collapsed="false">
      <c r="A25" s="77" t="str">
        <f aca="false">Audit!$B$46</f>
        <v>Destination port &amp; handling</v>
      </c>
      <c r="B25" s="77"/>
      <c r="C25" s="77" t="str">
        <f aca="false">IF(Audit!$C$46="","-",Audit!$C$46)</f>
        <v>-</v>
      </c>
      <c r="D25" s="77" t="str">
        <f aca="false">Audit!$H$46</f>
        <v>-</v>
      </c>
      <c r="E25" s="77" t="str">
        <f aca="false">IF(Audit!$M$46="","-",Audit!$M$46)</f>
        <v>-</v>
      </c>
      <c r="F25" s="78" t="n">
        <f aca="false">Audit!$J$46</f>
        <v>0</v>
      </c>
    </row>
    <row r="26" customFormat="false" ht="15" hidden="false" customHeight="false" outlineLevel="0" collapsed="false">
      <c r="A26" s="77" t="str">
        <f aca="false">Audit!$B$47</f>
        <v>Import clearance</v>
      </c>
      <c r="B26" s="77"/>
      <c r="C26" s="77" t="str">
        <f aca="false">IF(Audit!$C$47="","-",Audit!$C$47)</f>
        <v>-</v>
      </c>
      <c r="D26" s="77" t="str">
        <f aca="false">Audit!$H$47</f>
        <v>-</v>
      </c>
      <c r="E26" s="77" t="str">
        <f aca="false">IF(Audit!$M$47="","-",Audit!$M$47)</f>
        <v>-</v>
      </c>
      <c r="F26" s="78" t="n">
        <f aca="false">Audit!$J$47</f>
        <v>0</v>
      </c>
    </row>
    <row r="27" customFormat="false" ht="15" hidden="false" customHeight="false" outlineLevel="0" collapsed="false">
      <c r="A27" s="77" t="str">
        <f aca="false">Audit!$B$48</f>
        <v>Delivery</v>
      </c>
      <c r="B27" s="77"/>
      <c r="C27" s="77" t="str">
        <f aca="false">IF(Audit!$C$48="","-",Audit!$C$48)</f>
        <v>-</v>
      </c>
      <c r="D27" s="77" t="str">
        <f aca="false">Audit!$H$48</f>
        <v>-</v>
      </c>
      <c r="E27" s="77" t="str">
        <f aca="false">IF(Audit!$M$48="","-",Audit!$M$48)</f>
        <v>-</v>
      </c>
      <c r="F27" s="78" t="n">
        <f aca="false">Audit!$J$48</f>
        <v>0</v>
      </c>
    </row>
    <row r="28" customFormat="false" ht="15" hidden="false" customHeight="false" outlineLevel="0" collapsed="false">
      <c r="A28" s="77" t="str">
        <f aca="false">Audit!$B$49</f>
        <v>Duties &amp; taxes</v>
      </c>
      <c r="B28" s="77"/>
      <c r="C28" s="77" t="str">
        <f aca="false">IF(Audit!$C$49="","-",Audit!$C$49)</f>
        <v>-</v>
      </c>
      <c r="D28" s="77" t="str">
        <f aca="false">Audit!$H$49</f>
        <v>-</v>
      </c>
      <c r="E28" s="77" t="str">
        <f aca="false">IF(Audit!$M$49="","-",Audit!$M$49)</f>
        <v>-</v>
      </c>
      <c r="F28" s="78" t="n">
        <f aca="false">Audit!$J$49</f>
        <v>0</v>
      </c>
    </row>
    <row r="30" customFormat="false" ht="15" hidden="false" customHeight="false" outlineLevel="0" collapsed="false">
      <c r="A30" s="65" t="s">
        <v>188</v>
      </c>
      <c r="B30" s="65"/>
      <c r="C30" s="65"/>
      <c r="D30" s="65"/>
      <c r="E30" s="65"/>
      <c r="F30" s="65"/>
    </row>
    <row r="31" customFormat="false" ht="15" hidden="false" customHeight="false" outlineLevel="0" collapsed="false">
      <c r="A31" s="79" t="s">
        <v>128</v>
      </c>
      <c r="B31" s="79" t="s">
        <v>166</v>
      </c>
      <c r="C31" s="79" t="s">
        <v>167</v>
      </c>
      <c r="D31" s="79" t="s">
        <v>168</v>
      </c>
      <c r="E31" s="79" t="s">
        <v>170</v>
      </c>
      <c r="F31" s="79" t="s">
        <v>171</v>
      </c>
    </row>
    <row r="32" customFormat="false" ht="15" hidden="false" customHeight="false" outlineLevel="0" collapsed="false">
      <c r="A32" s="80" t="str">
        <f aca="false">Audit!$A$119</f>
        <v/>
      </c>
      <c r="B32" s="80" t="str">
        <f aca="false">Audit!$B$119</f>
        <v/>
      </c>
      <c r="C32" s="80" t="str">
        <f aca="false">Audit!$C$119</f>
        <v/>
      </c>
      <c r="D32" s="80" t="str">
        <f aca="false">Audit!$E$119</f>
        <v/>
      </c>
      <c r="E32" s="80" t="str">
        <f aca="false">Audit!$N$119</f>
        <v/>
      </c>
      <c r="F32" s="81" t="str">
        <f aca="false">Audit!$Q$119</f>
        <v/>
      </c>
    </row>
    <row r="33" customFormat="false" ht="15" hidden="false" customHeight="false" outlineLevel="0" collapsed="false">
      <c r="A33" s="80" t="str">
        <f aca="false">Audit!$A$120</f>
        <v/>
      </c>
      <c r="B33" s="80" t="str">
        <f aca="false">Audit!$B$120</f>
        <v/>
      </c>
      <c r="C33" s="80" t="str">
        <f aca="false">Audit!$C$120</f>
        <v/>
      </c>
      <c r="D33" s="80" t="str">
        <f aca="false">Audit!$E$120</f>
        <v/>
      </c>
      <c r="E33" s="80" t="str">
        <f aca="false">Audit!$N$120</f>
        <v/>
      </c>
      <c r="F33" s="81" t="str">
        <f aca="false">Audit!$Q$120</f>
        <v/>
      </c>
    </row>
    <row r="34" customFormat="false" ht="15" hidden="false" customHeight="false" outlineLevel="0" collapsed="false">
      <c r="A34" s="80" t="str">
        <f aca="false">Audit!$A$121</f>
        <v/>
      </c>
      <c r="B34" s="80" t="str">
        <f aca="false">Audit!$B$121</f>
        <v/>
      </c>
      <c r="C34" s="80" t="str">
        <f aca="false">Audit!$C$121</f>
        <v/>
      </c>
      <c r="D34" s="80" t="str">
        <f aca="false">Audit!$E$121</f>
        <v/>
      </c>
      <c r="E34" s="80" t="str">
        <f aca="false">Audit!$N$121</f>
        <v/>
      </c>
      <c r="F34" s="81" t="str">
        <f aca="false">Audit!$Q$121</f>
        <v/>
      </c>
    </row>
    <row r="35" customFormat="false" ht="15" hidden="false" customHeight="false" outlineLevel="0" collapsed="false">
      <c r="A35" s="80" t="str">
        <f aca="false">Audit!$A$122</f>
        <v/>
      </c>
      <c r="B35" s="80" t="str">
        <f aca="false">Audit!$B$122</f>
        <v/>
      </c>
      <c r="C35" s="80" t="str">
        <f aca="false">Audit!$C$122</f>
        <v/>
      </c>
      <c r="D35" s="80" t="str">
        <f aca="false">Audit!$E$122</f>
        <v/>
      </c>
      <c r="E35" s="80" t="str">
        <f aca="false">Audit!$N$122</f>
        <v/>
      </c>
      <c r="F35" s="81" t="str">
        <f aca="false">Audit!$Q$122</f>
        <v/>
      </c>
    </row>
    <row r="36" customFormat="false" ht="15" hidden="false" customHeight="false" outlineLevel="0" collapsed="false">
      <c r="A36" s="80" t="str">
        <f aca="false">Audit!$A$123</f>
        <v/>
      </c>
      <c r="B36" s="80" t="str">
        <f aca="false">Audit!$B$123</f>
        <v/>
      </c>
      <c r="C36" s="80" t="str">
        <f aca="false">Audit!$C$123</f>
        <v/>
      </c>
      <c r="D36" s="80" t="str">
        <f aca="false">Audit!$E$123</f>
        <v/>
      </c>
      <c r="E36" s="80" t="str">
        <f aca="false">Audit!$N$123</f>
        <v/>
      </c>
      <c r="F36" s="81" t="str">
        <f aca="false">Audit!$Q$123</f>
        <v/>
      </c>
    </row>
    <row r="37" customFormat="false" ht="15" hidden="false" customHeight="false" outlineLevel="0" collapsed="false">
      <c r="A37" s="80" t="str">
        <f aca="false">Audit!$A$124</f>
        <v/>
      </c>
      <c r="B37" s="80" t="str">
        <f aca="false">Audit!$B$124</f>
        <v/>
      </c>
      <c r="C37" s="80" t="str">
        <f aca="false">Audit!$C$124</f>
        <v/>
      </c>
      <c r="D37" s="80" t="str">
        <f aca="false">Audit!$E$124</f>
        <v/>
      </c>
      <c r="E37" s="80" t="str">
        <f aca="false">Audit!$N$124</f>
        <v/>
      </c>
      <c r="F37" s="81" t="str">
        <f aca="false">Audit!$Q$124</f>
        <v/>
      </c>
    </row>
    <row r="38" customFormat="false" ht="15" hidden="false" customHeight="false" outlineLevel="0" collapsed="false">
      <c r="A38" s="80" t="str">
        <f aca="false">Audit!$A$125</f>
        <v/>
      </c>
      <c r="B38" s="80" t="str">
        <f aca="false">Audit!$B$125</f>
        <v/>
      </c>
      <c r="C38" s="80" t="str">
        <f aca="false">Audit!$C$125</f>
        <v/>
      </c>
      <c r="D38" s="80" t="str">
        <f aca="false">Audit!$E$125</f>
        <v/>
      </c>
      <c r="E38" s="80" t="str">
        <f aca="false">Audit!$N$125</f>
        <v/>
      </c>
      <c r="F38" s="81" t="str">
        <f aca="false">Audit!$Q$125</f>
        <v/>
      </c>
    </row>
    <row r="39" customFormat="false" ht="15" hidden="false" customHeight="false" outlineLevel="0" collapsed="false">
      <c r="A39" s="80" t="str">
        <f aca="false">Audit!$A$126</f>
        <v/>
      </c>
      <c r="B39" s="80" t="str">
        <f aca="false">Audit!$B$126</f>
        <v/>
      </c>
      <c r="C39" s="80" t="str">
        <f aca="false">Audit!$C$126</f>
        <v/>
      </c>
      <c r="D39" s="80" t="str">
        <f aca="false">Audit!$E$126</f>
        <v/>
      </c>
      <c r="E39" s="80" t="str">
        <f aca="false">Audit!$N$126</f>
        <v/>
      </c>
      <c r="F39" s="81" t="str">
        <f aca="false">Audit!$Q$126</f>
        <v/>
      </c>
    </row>
    <row r="40" customFormat="false" ht="15" hidden="false" customHeight="false" outlineLevel="0" collapsed="false">
      <c r="A40" s="80" t="str">
        <f aca="false">Audit!$A$127</f>
        <v/>
      </c>
      <c r="B40" s="80" t="str">
        <f aca="false">Audit!$B$127</f>
        <v/>
      </c>
      <c r="C40" s="80" t="str">
        <f aca="false">Audit!$C$127</f>
        <v/>
      </c>
      <c r="D40" s="80" t="str">
        <f aca="false">Audit!$E$127</f>
        <v/>
      </c>
      <c r="E40" s="80" t="str">
        <f aca="false">Audit!$N$127</f>
        <v/>
      </c>
      <c r="F40" s="81" t="str">
        <f aca="false">Audit!$Q$127</f>
        <v/>
      </c>
    </row>
    <row r="41" customFormat="false" ht="15" hidden="false" customHeight="false" outlineLevel="0" collapsed="false">
      <c r="A41" s="80" t="str">
        <f aca="false">Audit!$A$128</f>
        <v/>
      </c>
      <c r="B41" s="80" t="str">
        <f aca="false">Audit!$B$128</f>
        <v/>
      </c>
      <c r="C41" s="80" t="str">
        <f aca="false">Audit!$C$128</f>
        <v/>
      </c>
      <c r="D41" s="80" t="str">
        <f aca="false">Audit!$E$128</f>
        <v/>
      </c>
      <c r="E41" s="80" t="str">
        <f aca="false">Audit!$N$128</f>
        <v/>
      </c>
      <c r="F41" s="81" t="str">
        <f aca="false">Audit!$Q$128</f>
        <v/>
      </c>
    </row>
    <row r="42" customFormat="false" ht="15" hidden="false" customHeight="false" outlineLevel="0" collapsed="false">
      <c r="A42" s="80" t="str">
        <f aca="false">Audit!$A$129</f>
        <v/>
      </c>
      <c r="B42" s="80" t="str">
        <f aca="false">Audit!$B$129</f>
        <v/>
      </c>
      <c r="C42" s="80" t="str">
        <f aca="false">Audit!$C$129</f>
        <v/>
      </c>
      <c r="D42" s="80" t="str">
        <f aca="false">Audit!$E$129</f>
        <v/>
      </c>
      <c r="E42" s="80" t="str">
        <f aca="false">Audit!$N$129</f>
        <v/>
      </c>
      <c r="F42" s="81" t="str">
        <f aca="false">Audit!$Q$129</f>
        <v/>
      </c>
    </row>
    <row r="43" customFormat="false" ht="15" hidden="false" customHeight="false" outlineLevel="0" collapsed="false">
      <c r="A43" s="80" t="str">
        <f aca="false">Audit!$A$130</f>
        <v/>
      </c>
      <c r="B43" s="80" t="str">
        <f aca="false">Audit!$B$130</f>
        <v/>
      </c>
      <c r="C43" s="80" t="str">
        <f aca="false">Audit!$C$130</f>
        <v/>
      </c>
      <c r="D43" s="80" t="str">
        <f aca="false">Audit!$E$130</f>
        <v/>
      </c>
      <c r="E43" s="80" t="str">
        <f aca="false">Audit!$N$130</f>
        <v/>
      </c>
      <c r="F43" s="81" t="str">
        <f aca="false">Audit!$Q$130</f>
        <v/>
      </c>
    </row>
    <row r="44" customFormat="false" ht="15" hidden="false" customHeight="false" outlineLevel="0" collapsed="false">
      <c r="A44" s="80" t="str">
        <f aca="false">Audit!$A$131</f>
        <v/>
      </c>
      <c r="B44" s="80" t="str">
        <f aca="false">Audit!$B$131</f>
        <v/>
      </c>
      <c r="C44" s="80" t="str">
        <f aca="false">Audit!$C$131</f>
        <v/>
      </c>
      <c r="D44" s="80" t="str">
        <f aca="false">Audit!$E$131</f>
        <v/>
      </c>
      <c r="E44" s="80" t="str">
        <f aca="false">Audit!$N$131</f>
        <v/>
      </c>
      <c r="F44" s="81" t="str">
        <f aca="false">Audit!$Q$131</f>
        <v/>
      </c>
    </row>
    <row r="45" customFormat="false" ht="15" hidden="false" customHeight="false" outlineLevel="0" collapsed="false">
      <c r="A45" s="80" t="str">
        <f aca="false">Audit!$A$132</f>
        <v/>
      </c>
      <c r="B45" s="80" t="str">
        <f aca="false">Audit!$B$132</f>
        <v/>
      </c>
      <c r="C45" s="80" t="str">
        <f aca="false">Audit!$C$132</f>
        <v/>
      </c>
      <c r="D45" s="80" t="str">
        <f aca="false">Audit!$E$132</f>
        <v/>
      </c>
      <c r="E45" s="80" t="str">
        <f aca="false">Audit!$N$132</f>
        <v/>
      </c>
      <c r="F45" s="81" t="str">
        <f aca="false">Audit!$Q$132</f>
        <v/>
      </c>
    </row>
    <row r="46" customFormat="false" ht="15" hidden="false" customHeight="false" outlineLevel="0" collapsed="false">
      <c r="A46" s="80" t="str">
        <f aca="false">Audit!$A$133</f>
        <v/>
      </c>
      <c r="B46" s="80" t="str">
        <f aca="false">Audit!$B$133</f>
        <v/>
      </c>
      <c r="C46" s="80" t="str">
        <f aca="false">Audit!$C$133</f>
        <v/>
      </c>
      <c r="D46" s="80" t="str">
        <f aca="false">Audit!$E$133</f>
        <v/>
      </c>
      <c r="E46" s="80" t="str">
        <f aca="false">Audit!$N$133</f>
        <v/>
      </c>
      <c r="F46" s="81" t="str">
        <f aca="false">Audit!$Q$133</f>
        <v/>
      </c>
    </row>
    <row r="47" customFormat="false" ht="15" hidden="false" customHeight="false" outlineLevel="0" collapsed="false">
      <c r="A47" s="80" t="str">
        <f aca="false">Audit!$A$134</f>
        <v/>
      </c>
      <c r="B47" s="80" t="str">
        <f aca="false">Audit!$B$134</f>
        <v/>
      </c>
      <c r="C47" s="80" t="str">
        <f aca="false">Audit!$C$134</f>
        <v/>
      </c>
      <c r="D47" s="80" t="str">
        <f aca="false">Audit!$E$134</f>
        <v/>
      </c>
      <c r="E47" s="80" t="str">
        <f aca="false">Audit!$N$134</f>
        <v/>
      </c>
      <c r="F47" s="81" t="str">
        <f aca="false">Audit!$Q$134</f>
        <v/>
      </c>
    </row>
    <row r="48" customFormat="false" ht="15" hidden="false" customHeight="false" outlineLevel="0" collapsed="false">
      <c r="A48" s="80" t="str">
        <f aca="false">Audit!$A$135</f>
        <v/>
      </c>
      <c r="B48" s="80" t="str">
        <f aca="false">Audit!$B$135</f>
        <v/>
      </c>
      <c r="C48" s="80" t="str">
        <f aca="false">Audit!$C$135</f>
        <v/>
      </c>
      <c r="D48" s="80" t="str">
        <f aca="false">Audit!$E$135</f>
        <v/>
      </c>
      <c r="E48" s="80" t="str">
        <f aca="false">Audit!$N$135</f>
        <v/>
      </c>
      <c r="F48" s="81" t="str">
        <f aca="false">Audit!$Q$135</f>
        <v/>
      </c>
    </row>
    <row r="49" customFormat="false" ht="15" hidden="false" customHeight="false" outlineLevel="0" collapsed="false">
      <c r="A49" s="80" t="str">
        <f aca="false">Audit!$A$136</f>
        <v/>
      </c>
      <c r="B49" s="80" t="str">
        <f aca="false">Audit!$B$136</f>
        <v/>
      </c>
      <c r="C49" s="80" t="str">
        <f aca="false">Audit!$C$136</f>
        <v/>
      </c>
      <c r="D49" s="80" t="str">
        <f aca="false">Audit!$E$136</f>
        <v/>
      </c>
      <c r="E49" s="80" t="str">
        <f aca="false">Audit!$N$136</f>
        <v/>
      </c>
      <c r="F49" s="81" t="str">
        <f aca="false">Audit!$Q$136</f>
        <v/>
      </c>
    </row>
    <row r="50" customFormat="false" ht="15" hidden="false" customHeight="false" outlineLevel="0" collapsed="false">
      <c r="A50" s="80" t="str">
        <f aca="false">Audit!$A$137</f>
        <v/>
      </c>
      <c r="B50" s="80" t="str">
        <f aca="false">Audit!$B$137</f>
        <v/>
      </c>
      <c r="C50" s="80" t="str">
        <f aca="false">Audit!$C$137</f>
        <v/>
      </c>
      <c r="D50" s="80" t="str">
        <f aca="false">Audit!$E$137</f>
        <v/>
      </c>
      <c r="E50" s="80" t="str">
        <f aca="false">Audit!$N$137</f>
        <v/>
      </c>
      <c r="F50" s="81" t="str">
        <f aca="false">Audit!$Q$137</f>
        <v/>
      </c>
    </row>
    <row r="51" customFormat="false" ht="15" hidden="false" customHeight="false" outlineLevel="0" collapsed="false">
      <c r="A51" s="80" t="str">
        <f aca="false">Audit!$A$138</f>
        <v/>
      </c>
      <c r="B51" s="80" t="str">
        <f aca="false">Audit!$B$138</f>
        <v/>
      </c>
      <c r="C51" s="80" t="str">
        <f aca="false">Audit!$C$138</f>
        <v/>
      </c>
      <c r="D51" s="80" t="str">
        <f aca="false">Audit!$E$138</f>
        <v/>
      </c>
      <c r="E51" s="80" t="str">
        <f aca="false">Audit!$N$138</f>
        <v/>
      </c>
      <c r="F51" s="81" t="str">
        <f aca="false">Audit!$Q$138</f>
        <v/>
      </c>
    </row>
    <row r="52" customFormat="false" ht="15" hidden="false" customHeight="false" outlineLevel="0" collapsed="false">
      <c r="A52" s="80" t="str">
        <f aca="false">Audit!$A$139</f>
        <v/>
      </c>
      <c r="B52" s="80" t="str">
        <f aca="false">Audit!$B$139</f>
        <v/>
      </c>
      <c r="C52" s="80" t="str">
        <f aca="false">Audit!$C$139</f>
        <v/>
      </c>
      <c r="D52" s="80" t="str">
        <f aca="false">Audit!$E$139</f>
        <v/>
      </c>
      <c r="E52" s="80" t="str">
        <f aca="false">Audit!$N$139</f>
        <v/>
      </c>
      <c r="F52" s="81" t="str">
        <f aca="false">Audit!$Q$139</f>
        <v/>
      </c>
    </row>
    <row r="53" customFormat="false" ht="15" hidden="false" customHeight="false" outlineLevel="0" collapsed="false">
      <c r="A53" s="80" t="str">
        <f aca="false">Audit!$A$140</f>
        <v/>
      </c>
      <c r="B53" s="80" t="str">
        <f aca="false">Audit!$B$140</f>
        <v/>
      </c>
      <c r="C53" s="80" t="str">
        <f aca="false">Audit!$C$140</f>
        <v/>
      </c>
      <c r="D53" s="80" t="str">
        <f aca="false">Audit!$E$140</f>
        <v/>
      </c>
      <c r="E53" s="80" t="str">
        <f aca="false">Audit!$N$140</f>
        <v/>
      </c>
      <c r="F53" s="81" t="str">
        <f aca="false">Audit!$Q$140</f>
        <v/>
      </c>
    </row>
    <row r="54" customFormat="false" ht="15" hidden="false" customHeight="false" outlineLevel="0" collapsed="false">
      <c r="A54" s="80" t="str">
        <f aca="false">Audit!$A$141</f>
        <v/>
      </c>
      <c r="B54" s="80" t="str">
        <f aca="false">Audit!$B$141</f>
        <v/>
      </c>
      <c r="C54" s="80" t="str">
        <f aca="false">Audit!$C$141</f>
        <v/>
      </c>
      <c r="D54" s="80" t="str">
        <f aca="false">Audit!$E$141</f>
        <v/>
      </c>
      <c r="E54" s="80" t="str">
        <f aca="false">Audit!$N$141</f>
        <v/>
      </c>
      <c r="F54" s="81" t="str">
        <f aca="false">Audit!$Q$141</f>
        <v/>
      </c>
    </row>
    <row r="55" customFormat="false" ht="15" hidden="false" customHeight="false" outlineLevel="0" collapsed="false">
      <c r="A55" s="80" t="str">
        <f aca="false">Audit!$A$142</f>
        <v/>
      </c>
      <c r="B55" s="80" t="str">
        <f aca="false">Audit!$B$142</f>
        <v/>
      </c>
      <c r="C55" s="80" t="str">
        <f aca="false">Audit!$C$142</f>
        <v/>
      </c>
      <c r="D55" s="80" t="str">
        <f aca="false">Audit!$E$142</f>
        <v/>
      </c>
      <c r="E55" s="80" t="str">
        <f aca="false">Audit!$N$142</f>
        <v/>
      </c>
      <c r="F55" s="81" t="str">
        <f aca="false">Audit!$Q$142</f>
        <v/>
      </c>
    </row>
    <row r="56" customFormat="false" ht="15" hidden="false" customHeight="false" outlineLevel="0" collapsed="false">
      <c r="A56" s="80" t="str">
        <f aca="false">Audit!$A$143</f>
        <v/>
      </c>
      <c r="B56" s="80" t="str">
        <f aca="false">Audit!$B$143</f>
        <v/>
      </c>
      <c r="C56" s="80" t="str">
        <f aca="false">Audit!$C$143</f>
        <v/>
      </c>
      <c r="D56" s="80" t="str">
        <f aca="false">Audit!$E$143</f>
        <v/>
      </c>
      <c r="E56" s="80" t="str">
        <f aca="false">Audit!$N$143</f>
        <v/>
      </c>
      <c r="F56" s="81" t="str">
        <f aca="false">Audit!$Q$143</f>
        <v/>
      </c>
    </row>
    <row r="57" customFormat="false" ht="15" hidden="false" customHeight="false" outlineLevel="0" collapsed="false">
      <c r="A57" s="80" t="str">
        <f aca="false">Audit!$A$144</f>
        <v/>
      </c>
      <c r="B57" s="80" t="str">
        <f aca="false">Audit!$B$144</f>
        <v/>
      </c>
      <c r="C57" s="80" t="str">
        <f aca="false">Audit!$C$144</f>
        <v/>
      </c>
      <c r="D57" s="80" t="str">
        <f aca="false">Audit!$E$144</f>
        <v/>
      </c>
      <c r="E57" s="80" t="str">
        <f aca="false">Audit!$N$144</f>
        <v/>
      </c>
      <c r="F57" s="81" t="str">
        <f aca="false">Audit!$Q$144</f>
        <v/>
      </c>
    </row>
    <row r="58" customFormat="false" ht="15" hidden="false" customHeight="false" outlineLevel="0" collapsed="false">
      <c r="A58" s="80" t="str">
        <f aca="false">Audit!$A$145</f>
        <v/>
      </c>
      <c r="B58" s="80" t="str">
        <f aca="false">Audit!$B$145</f>
        <v/>
      </c>
      <c r="C58" s="80" t="str">
        <f aca="false">Audit!$C$145</f>
        <v/>
      </c>
      <c r="D58" s="80" t="str">
        <f aca="false">Audit!$E$145</f>
        <v/>
      </c>
      <c r="E58" s="80" t="str">
        <f aca="false">Audit!$N$145</f>
        <v/>
      </c>
      <c r="F58" s="81" t="str">
        <f aca="false">Audit!$Q$145</f>
        <v/>
      </c>
    </row>
    <row r="59" customFormat="false" ht="15" hidden="false" customHeight="false" outlineLevel="0" collapsed="false">
      <c r="A59" s="80" t="str">
        <f aca="false">Audit!$A$146</f>
        <v/>
      </c>
      <c r="B59" s="80" t="str">
        <f aca="false">Audit!$B$146</f>
        <v/>
      </c>
      <c r="C59" s="80" t="str">
        <f aca="false">Audit!$C$146</f>
        <v/>
      </c>
      <c r="D59" s="80" t="str">
        <f aca="false">Audit!$E$146</f>
        <v/>
      </c>
      <c r="E59" s="80" t="str">
        <f aca="false">Audit!$N$146</f>
        <v/>
      </c>
      <c r="F59" s="81" t="str">
        <f aca="false">Audit!$Q$146</f>
        <v/>
      </c>
    </row>
    <row r="60" customFormat="false" ht="15" hidden="false" customHeight="false" outlineLevel="0" collapsed="false">
      <c r="A60" s="80" t="str">
        <f aca="false">Audit!$A$147</f>
        <v/>
      </c>
      <c r="B60" s="80" t="str">
        <f aca="false">Audit!$B$147</f>
        <v/>
      </c>
      <c r="C60" s="80" t="str">
        <f aca="false">Audit!$C$147</f>
        <v/>
      </c>
      <c r="D60" s="80" t="str">
        <f aca="false">Audit!$E$147</f>
        <v/>
      </c>
      <c r="E60" s="80" t="str">
        <f aca="false">Audit!$N$147</f>
        <v/>
      </c>
      <c r="F60" s="81" t="str">
        <f aca="false">Audit!$Q$147</f>
        <v/>
      </c>
    </row>
    <row r="61" customFormat="false" ht="15" hidden="false" customHeight="false" outlineLevel="0" collapsed="false">
      <c r="A61" s="80" t="str">
        <f aca="false">Audit!$A$148</f>
        <v/>
      </c>
      <c r="B61" s="80" t="str">
        <f aca="false">Audit!$B$148</f>
        <v/>
      </c>
      <c r="C61" s="80" t="str">
        <f aca="false">Audit!$C$148</f>
        <v/>
      </c>
      <c r="D61" s="80" t="str">
        <f aca="false">Audit!$E$148</f>
        <v/>
      </c>
      <c r="E61" s="80" t="str">
        <f aca="false">Audit!$N$148</f>
        <v/>
      </c>
      <c r="F61" s="81" t="str">
        <f aca="false">Audit!$Q$148</f>
        <v/>
      </c>
    </row>
    <row r="63" customFormat="false" ht="15" hidden="false" customHeight="false" outlineLevel="0" collapsed="false">
      <c r="A63" s="65" t="s">
        <v>189</v>
      </c>
      <c r="B63" s="65"/>
      <c r="C63" s="65"/>
      <c r="D63" s="65"/>
      <c r="E63" s="65"/>
      <c r="F63" s="65"/>
    </row>
    <row r="64" customFormat="false" ht="25.5" hidden="false" customHeight="true" outlineLevel="0" collapsed="false">
      <c r="A64" s="67" t="str">
        <f aca="false">IF(Checks!$AN$2="","",1&amp;".")</f>
        <v/>
      </c>
      <c r="B64" s="64" t="str">
        <f aca="false">IF(Checks!$AN$2="","",INDEX(Checks!$E$70:$E$470,Checks!$AN$2)&amp;" - "&amp;INDEX(Checks!$H$70:$H$470,Checks!$AN$2))</f>
        <v/>
      </c>
      <c r="C64" s="64"/>
      <c r="D64" s="64"/>
      <c r="E64" s="64"/>
      <c r="F64" s="64"/>
    </row>
    <row r="65" customFormat="false" ht="25.5" hidden="false" customHeight="true" outlineLevel="0" collapsed="false">
      <c r="A65" s="67" t="str">
        <f aca="false">IF(Checks!$AN$3="","",2&amp;".")</f>
        <v/>
      </c>
      <c r="B65" s="64" t="str">
        <f aca="false">IF(Checks!$AN$3="","",INDEX(Checks!$E$70:$E$470,Checks!$AN$3)&amp;" - "&amp;INDEX(Checks!$H$70:$H$470,Checks!$AN$3))</f>
        <v/>
      </c>
      <c r="C65" s="64"/>
      <c r="D65" s="64"/>
      <c r="E65" s="64"/>
      <c r="F65" s="64"/>
    </row>
    <row r="66" customFormat="false" ht="25.5" hidden="false" customHeight="true" outlineLevel="0" collapsed="false">
      <c r="A66" s="67" t="str">
        <f aca="false">IF(Checks!$AN$4="","",3&amp;".")</f>
        <v/>
      </c>
      <c r="B66" s="64" t="str">
        <f aca="false">IF(Checks!$AN$4="","",INDEX(Checks!$E$70:$E$470,Checks!$AN$4)&amp;" - "&amp;INDEX(Checks!$H$70:$H$470,Checks!$AN$4))</f>
        <v/>
      </c>
      <c r="C66" s="64"/>
      <c r="D66" s="64"/>
      <c r="E66" s="64"/>
      <c r="F66" s="64"/>
    </row>
    <row r="67" customFormat="false" ht="25.5" hidden="false" customHeight="true" outlineLevel="0" collapsed="false">
      <c r="A67" s="67" t="str">
        <f aca="false">IF(Checks!$AN$5="","",4&amp;".")</f>
        <v/>
      </c>
      <c r="B67" s="64" t="str">
        <f aca="false">IF(Checks!$AN$5="","",INDEX(Checks!$E$70:$E$470,Checks!$AN$5)&amp;" - "&amp;INDEX(Checks!$H$70:$H$470,Checks!$AN$5))</f>
        <v/>
      </c>
      <c r="C67" s="64"/>
      <c r="D67" s="64"/>
      <c r="E67" s="64"/>
      <c r="F67" s="64"/>
    </row>
    <row r="68" customFormat="false" ht="25.5" hidden="false" customHeight="true" outlineLevel="0" collapsed="false">
      <c r="A68" s="67" t="str">
        <f aca="false">IF(Checks!$AN$6="","",5&amp;".")</f>
        <v/>
      </c>
      <c r="B68" s="64" t="str">
        <f aca="false">IF(Checks!$AN$6="","",INDEX(Checks!$E$70:$E$470,Checks!$AN$6)&amp;" - "&amp;INDEX(Checks!$H$70:$H$470,Checks!$AN$6))</f>
        <v/>
      </c>
      <c r="C68" s="64"/>
      <c r="D68" s="64"/>
      <c r="E68" s="64"/>
      <c r="F68" s="64"/>
    </row>
    <row r="69" customFormat="false" ht="25.5" hidden="false" customHeight="true" outlineLevel="0" collapsed="false">
      <c r="A69" s="67" t="str">
        <f aca="false">IF(Checks!$AN$7="","",6&amp;".")</f>
        <v/>
      </c>
      <c r="B69" s="64" t="str">
        <f aca="false">IF(Checks!$AN$7="","",INDEX(Checks!$E$70:$E$470,Checks!$AN$7)&amp;" - "&amp;INDEX(Checks!$H$70:$H$470,Checks!$AN$7))</f>
        <v/>
      </c>
      <c r="C69" s="64"/>
      <c r="D69" s="64"/>
      <c r="E69" s="64"/>
      <c r="F69" s="64"/>
    </row>
    <row r="70" customFormat="false" ht="25.5" hidden="false" customHeight="true" outlineLevel="0" collapsed="false">
      <c r="A70" s="67" t="str">
        <f aca="false">IF(Checks!$AN$8="","",7&amp;".")</f>
        <v/>
      </c>
      <c r="B70" s="64" t="str">
        <f aca="false">IF(Checks!$AN$8="","",INDEX(Checks!$E$70:$E$470,Checks!$AN$8)&amp;" - "&amp;INDEX(Checks!$H$70:$H$470,Checks!$AN$8))</f>
        <v/>
      </c>
      <c r="C70" s="64"/>
      <c r="D70" s="64"/>
      <c r="E70" s="64"/>
      <c r="F70" s="64"/>
    </row>
    <row r="71" customFormat="false" ht="25.5" hidden="false" customHeight="true" outlineLevel="0" collapsed="false">
      <c r="A71" s="67" t="str">
        <f aca="false">IF(Checks!$AN$9="","",8&amp;".")</f>
        <v/>
      </c>
      <c r="B71" s="64" t="str">
        <f aca="false">IF(Checks!$AN$9="","",INDEX(Checks!$E$70:$E$470,Checks!$AN$9)&amp;" - "&amp;INDEX(Checks!$H$70:$H$470,Checks!$AN$9))</f>
        <v/>
      </c>
      <c r="C71" s="64"/>
      <c r="D71" s="64"/>
      <c r="E71" s="64"/>
      <c r="F71" s="64"/>
    </row>
    <row r="72" customFormat="false" ht="25.5" hidden="false" customHeight="true" outlineLevel="0" collapsed="false">
      <c r="A72" s="67" t="str">
        <f aca="false">IF(Checks!$AN$10="","",9&amp;".")</f>
        <v/>
      </c>
      <c r="B72" s="64" t="str">
        <f aca="false">IF(Checks!$AN$10="","",INDEX(Checks!$E$70:$E$470,Checks!$AN$10)&amp;" - "&amp;INDEX(Checks!$H$70:$H$470,Checks!$AN$10))</f>
        <v/>
      </c>
      <c r="C72" s="64"/>
      <c r="D72" s="64"/>
      <c r="E72" s="64"/>
      <c r="F72" s="64"/>
    </row>
    <row r="73" customFormat="false" ht="25.5" hidden="false" customHeight="true" outlineLevel="0" collapsed="false">
      <c r="A73" s="67" t="str">
        <f aca="false">IF(Checks!$AN$11="","",10&amp;".")</f>
        <v/>
      </c>
      <c r="B73" s="64" t="str">
        <f aca="false">IF(Checks!$AN$11="","",INDEX(Checks!$E$70:$E$470,Checks!$AN$11)&amp;" - "&amp;INDEX(Checks!$H$70:$H$470,Checks!$AN$11))</f>
        <v/>
      </c>
      <c r="C73" s="64"/>
      <c r="D73" s="64"/>
      <c r="E73" s="64"/>
      <c r="F73" s="64"/>
    </row>
    <row r="74" customFormat="false" ht="25.5" hidden="false" customHeight="true" outlineLevel="0" collapsed="false">
      <c r="A74" s="67" t="str">
        <f aca="false">IF(Checks!$AN$12="","",11&amp;".")</f>
        <v/>
      </c>
      <c r="B74" s="64" t="str">
        <f aca="false">IF(Checks!$AN$12="","",INDEX(Checks!$E$70:$E$470,Checks!$AN$12)&amp;" - "&amp;INDEX(Checks!$H$70:$H$470,Checks!$AN$12))</f>
        <v/>
      </c>
      <c r="C74" s="64"/>
      <c r="D74" s="64"/>
      <c r="E74" s="64"/>
      <c r="F74" s="64"/>
    </row>
    <row r="75" customFormat="false" ht="25.5" hidden="false" customHeight="true" outlineLevel="0" collapsed="false">
      <c r="A75" s="67" t="str">
        <f aca="false">IF(Checks!$AN$13="","",12&amp;".")</f>
        <v/>
      </c>
      <c r="B75" s="64" t="str">
        <f aca="false">IF(Checks!$AN$13="","",INDEX(Checks!$E$70:$E$470,Checks!$AN$13)&amp;" - "&amp;INDEX(Checks!$H$70:$H$470,Checks!$AN$13))</f>
        <v/>
      </c>
      <c r="C75" s="64"/>
      <c r="D75" s="64"/>
      <c r="E75" s="64"/>
      <c r="F75" s="64"/>
    </row>
    <row r="76" customFormat="false" ht="25.5" hidden="false" customHeight="true" outlineLevel="0" collapsed="false">
      <c r="A76" s="67" t="str">
        <f aca="false">IF(Checks!$AN$14="","",13&amp;".")</f>
        <v/>
      </c>
      <c r="B76" s="64" t="str">
        <f aca="false">IF(Checks!$AN$14="","",INDEX(Checks!$E$70:$E$470,Checks!$AN$14)&amp;" - "&amp;INDEX(Checks!$H$70:$H$470,Checks!$AN$14))</f>
        <v/>
      </c>
      <c r="C76" s="64"/>
      <c r="D76" s="64"/>
      <c r="E76" s="64"/>
      <c r="F76" s="64"/>
    </row>
    <row r="77" customFormat="false" ht="25.5" hidden="false" customHeight="true" outlineLevel="0" collapsed="false">
      <c r="A77" s="67" t="str">
        <f aca="false">IF(Checks!$AN$15="","",14&amp;".")</f>
        <v/>
      </c>
      <c r="B77" s="64" t="str">
        <f aca="false">IF(Checks!$AN$15="","",INDEX(Checks!$E$70:$E$470,Checks!$AN$15)&amp;" - "&amp;INDEX(Checks!$H$70:$H$470,Checks!$AN$15))</f>
        <v/>
      </c>
      <c r="C77" s="64"/>
      <c r="D77" s="64"/>
      <c r="E77" s="64"/>
      <c r="F77" s="64"/>
    </row>
    <row r="78" customFormat="false" ht="25.5" hidden="false" customHeight="true" outlineLevel="0" collapsed="false">
      <c r="A78" s="67" t="str">
        <f aca="false">IF(Checks!$AN$16="","",15&amp;".")</f>
        <v/>
      </c>
      <c r="B78" s="64" t="str">
        <f aca="false">IF(Checks!$AN$16="","",INDEX(Checks!$E$70:$E$470,Checks!$AN$16)&amp;" - "&amp;INDEX(Checks!$H$70:$H$470,Checks!$AN$16))</f>
        <v/>
      </c>
      <c r="C78" s="64"/>
      <c r="D78" s="64"/>
      <c r="E78" s="64"/>
      <c r="F78" s="64"/>
    </row>
    <row r="80" customFormat="false" ht="15" hidden="false" customHeight="false" outlineLevel="0" collapsed="false">
      <c r="A80" s="65" t="s">
        <v>190</v>
      </c>
      <c r="B80" s="65"/>
      <c r="C80" s="65"/>
      <c r="D80" s="65"/>
      <c r="E80" s="65"/>
      <c r="F80" s="65"/>
    </row>
    <row r="81" customFormat="false" ht="30" hidden="false" customHeight="true" outlineLevel="0" collapsed="false">
      <c r="A81" s="64" t="str">
        <f aca="false">"Checked: calculations, charging bases and quantities, consistency with the commercial invoice and packing list, duplicated or unexplained charges, missing charges, coverage of the requested services"&amp;IF(Audit!$C$19="Yes",", and agreed rates.",".")</f>
        <v>Checked: calculations, charging bases and quantities, consistency with the commercial invoice and packing list, duplicated or unexplained charges, missing charges, coverage of the requested services.</v>
      </c>
      <c r="B81" s="64"/>
      <c r="C81" s="64"/>
      <c r="D81" s="64"/>
      <c r="E81" s="64"/>
      <c r="F81" s="64"/>
    </row>
    <row r="82" customFormat="false" ht="30" hidden="false" customHeight="true" outlineLevel="0" collapsed="false">
      <c r="A82" s="64" t="str">
        <f aca="false">"Not checked: "&amp;Checks!$AF$24</f>
        <v>Not checked: Agreed rates (no rate agreement provided); market price levels (no benchmark used); duty and tax rates (to be confirmed by a licensed customs broker).</v>
      </c>
      <c r="B82" s="64"/>
      <c r="C82" s="64"/>
      <c r="D82" s="64"/>
      <c r="E82" s="64"/>
      <c r="F82" s="64"/>
    </row>
    <row r="83" customFormat="false" ht="27.75" hidden="false" customHeight="true" outlineLevel="0" collapsed="false">
      <c r="A83" s="82" t="str">
        <f aca="false">"Line verification: "&amp;Checks!$AF$23&amp;". 'Verified' means the forwarder's own line amount reconciles; other lines are calculated from the entered rates only."</f>
        <v>Line verification: 0 verified · 0 calculated, not independently verified · 0 with errors. 'Verified' means the forwarder's own line amount reconciles; other lines are calculated from the entered rates only.</v>
      </c>
      <c r="B83" s="82"/>
      <c r="C83" s="82"/>
      <c r="D83" s="82"/>
      <c r="E83" s="82"/>
      <c r="F83" s="82"/>
    </row>
  </sheetData>
  <mergeCells count="53">
    <mergeCell ref="A5:B5"/>
    <mergeCell ref="C5:D5"/>
    <mergeCell ref="E5:F5"/>
    <mergeCell ref="A7:F7"/>
    <mergeCell ref="A8:B8"/>
    <mergeCell ref="E8:F8"/>
    <mergeCell ref="A9:B9"/>
    <mergeCell ref="E9:F9"/>
    <mergeCell ref="A10:B10"/>
    <mergeCell ref="E10:F10"/>
    <mergeCell ref="A12:F12"/>
    <mergeCell ref="A13:C13"/>
    <mergeCell ref="E13:F13"/>
    <mergeCell ref="A14:C14"/>
    <mergeCell ref="E14:F14"/>
    <mergeCell ref="A15:C15"/>
    <mergeCell ref="E15:F15"/>
    <mergeCell ref="A16:C16"/>
    <mergeCell ref="E16:F16"/>
    <mergeCell ref="A17:C17"/>
    <mergeCell ref="E17:F17"/>
    <mergeCell ref="A18:C18"/>
    <mergeCell ref="E18:F18"/>
    <mergeCell ref="A20:F20"/>
    <mergeCell ref="A21:B21"/>
    <mergeCell ref="A22:B22"/>
    <mergeCell ref="A23:B23"/>
    <mergeCell ref="A24:B24"/>
    <mergeCell ref="A25:B25"/>
    <mergeCell ref="A26:B26"/>
    <mergeCell ref="A27:B27"/>
    <mergeCell ref="A28:B28"/>
    <mergeCell ref="A30:F30"/>
    <mergeCell ref="A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A80:F80"/>
    <mergeCell ref="A81:F81"/>
    <mergeCell ref="A82:F82"/>
    <mergeCell ref="A83:F83"/>
  </mergeCells>
  <conditionalFormatting sqref="C5">
    <cfRule type="expression" priority="2" aboveAverage="0" equalAverage="0" bottom="0" percent="0" rank="0" text="" dxfId="3">
      <formula>LEFT(C5,5)="Audit"</formula>
    </cfRule>
    <cfRule type="expression" priority="3" aboveAverage="0" equalAverage="0" bottom="0" percent="0" rank="0" text="" dxfId="4">
      <formula>LEFT(C5,5)="Corre"</formula>
    </cfRule>
    <cfRule type="expression" priority="4" aboveAverage="0" equalAverage="0" bottom="0" percent="0" rank="0" text="" dxfId="5">
      <formula>LEFT(C5,5)="Needs"</formula>
    </cfRule>
  </conditionalFormatting>
  <conditionalFormatting sqref="B32:B61">
    <cfRule type="expression" priority="5" aboveAverage="0" equalAverage="0" bottom="0" percent="0" rank="0" text="" dxfId="0">
      <formula>$B32="Error"</formula>
    </cfRule>
    <cfRule type="expression" priority="6" aboveAverage="0" equalAverage="0" bottom="0" percent="0" rank="0" text="" dxfId="1">
      <formula>$B32="Risk"</formula>
    </cfRule>
    <cfRule type="expression" priority="7" aboveAverage="0" equalAverage="0" bottom="0" percent="0" rank="0" text="" dxfId="2">
      <formula>$B32="Question"</formula>
    </cfRule>
  </conditionalFormatting>
  <printOptions headings="false" gridLines="false" gridLinesSet="true" horizontalCentered="fals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&amp;CMOVE Supply Chain · Freight Quotation Audit · UAT v1.0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9A8F"/>
    <pageSetUpPr fitToPage="false"/>
  </sheetPr>
  <dimension ref="A1:P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28"/>
    <col collapsed="false" customWidth="true" hidden="false" outlineLevel="0" max="4" min="4" style="0" width="3"/>
    <col collapsed="false" customWidth="true" hidden="false" outlineLevel="0" max="5" min="5" style="0" width="26"/>
    <col collapsed="false" customWidth="true" hidden="false" outlineLevel="0" max="6" min="6" style="0" width="3"/>
    <col collapsed="false" customWidth="true" hidden="false" outlineLevel="0" max="7" min="7" style="0" width="16"/>
    <col collapsed="false" customWidth="true" hidden="false" outlineLevel="0" max="8" min="8" style="0" width="3"/>
    <col collapsed="false" customWidth="true" hidden="false" outlineLevel="0" max="9" min="9" style="0" width="9"/>
    <col collapsed="false" customWidth="true" hidden="false" outlineLevel="0" max="10" min="10" style="0" width="10"/>
    <col collapsed="false" customWidth="true" hidden="false" outlineLevel="0" max="16" min="11" style="0" width="14"/>
  </cols>
  <sheetData>
    <row r="1" customFormat="false" ht="15" hidden="false" customHeight="false" outlineLevel="0" collapsed="false">
      <c r="A1" s="5" t="s">
        <v>191</v>
      </c>
      <c r="B1" s="35"/>
      <c r="C1" s="35"/>
      <c r="D1" s="35"/>
      <c r="E1" s="35"/>
      <c r="F1" s="35"/>
      <c r="G1" s="35"/>
      <c r="H1" s="35"/>
      <c r="I1" s="35"/>
      <c r="J1" s="35"/>
      <c r="K1" s="35"/>
      <c r="L1" s="35"/>
      <c r="M1" s="35"/>
      <c r="N1" s="35"/>
      <c r="O1" s="35"/>
      <c r="P1" s="35"/>
    </row>
    <row r="2" customFormat="false" ht="15" hidden="false" customHeight="false" outlineLevel="0" collapsed="false">
      <c r="A2" s="35"/>
      <c r="B2" s="35"/>
      <c r="C2" s="35"/>
      <c r="D2" s="35"/>
      <c r="E2" s="35"/>
      <c r="F2" s="35"/>
      <c r="G2" s="35"/>
      <c r="H2" s="35"/>
      <c r="I2" s="35"/>
      <c r="J2" s="35"/>
      <c r="K2" s="35"/>
      <c r="L2" s="35"/>
      <c r="M2" s="35"/>
      <c r="N2" s="35"/>
      <c r="O2" s="35"/>
      <c r="P2" s="35"/>
    </row>
    <row r="3" customFormat="false" ht="15" hidden="false" customHeight="false" outlineLevel="0" collapsed="false">
      <c r="A3" s="76" t="s">
        <v>130</v>
      </c>
      <c r="B3" s="76" t="s">
        <v>192</v>
      </c>
      <c r="C3" s="76" t="s">
        <v>113</v>
      </c>
      <c r="D3" s="35"/>
      <c r="E3" s="76" t="s">
        <v>131</v>
      </c>
      <c r="F3" s="35"/>
      <c r="G3" s="76" t="s">
        <v>134</v>
      </c>
      <c r="H3" s="35"/>
      <c r="I3" s="76" t="s">
        <v>193</v>
      </c>
      <c r="J3" s="76" t="s">
        <v>120</v>
      </c>
      <c r="K3" s="76" t="s">
        <v>121</v>
      </c>
      <c r="L3" s="76" t="s">
        <v>122</v>
      </c>
      <c r="M3" s="76" t="s">
        <v>123</v>
      </c>
      <c r="N3" s="76" t="s">
        <v>124</v>
      </c>
      <c r="O3" s="76" t="s">
        <v>125</v>
      </c>
      <c r="P3" s="76" t="s">
        <v>126</v>
      </c>
    </row>
    <row r="4" customFormat="false" ht="15" hidden="false" customHeight="false" outlineLevel="0" collapsed="false">
      <c r="A4" s="35" t="s">
        <v>194</v>
      </c>
      <c r="B4" s="35" t="s">
        <v>155</v>
      </c>
      <c r="C4" s="35" t="s">
        <v>120</v>
      </c>
      <c r="D4" s="35"/>
      <c r="E4" s="35" t="s">
        <v>148</v>
      </c>
      <c r="F4" s="35"/>
      <c r="G4" s="35" t="s">
        <v>150</v>
      </c>
      <c r="H4" s="35"/>
      <c r="I4" s="35" t="s">
        <v>195</v>
      </c>
      <c r="J4" s="35" t="s">
        <v>196</v>
      </c>
      <c r="K4" s="35" t="s">
        <v>196</v>
      </c>
      <c r="L4" s="35" t="s">
        <v>196</v>
      </c>
      <c r="M4" s="35" t="s">
        <v>196</v>
      </c>
      <c r="N4" s="35" t="s">
        <v>196</v>
      </c>
      <c r="O4" s="35" t="s">
        <v>196</v>
      </c>
      <c r="P4" s="35" t="s">
        <v>196</v>
      </c>
    </row>
    <row r="5" customFormat="false" ht="15" hidden="false" customHeight="false" outlineLevel="0" collapsed="false">
      <c r="A5" s="35" t="s">
        <v>147</v>
      </c>
      <c r="B5" s="35" t="s">
        <v>155</v>
      </c>
      <c r="C5" s="35" t="s">
        <v>121</v>
      </c>
      <c r="D5" s="35"/>
      <c r="E5" s="35" t="s">
        <v>197</v>
      </c>
      <c r="F5" s="35"/>
      <c r="G5" s="35" t="s">
        <v>198</v>
      </c>
      <c r="H5" s="35"/>
      <c r="I5" s="35" t="s">
        <v>199</v>
      </c>
      <c r="J5" s="35" t="s">
        <v>196</v>
      </c>
      <c r="K5" s="35" t="s">
        <v>200</v>
      </c>
      <c r="L5" s="35" t="s">
        <v>196</v>
      </c>
      <c r="M5" s="35" t="s">
        <v>196</v>
      </c>
      <c r="N5" s="35" t="s">
        <v>196</v>
      </c>
      <c r="O5" s="35" t="s">
        <v>196</v>
      </c>
      <c r="P5" s="35" t="s">
        <v>196</v>
      </c>
    </row>
    <row r="6" customFormat="false" ht="15" hidden="false" customHeight="false" outlineLevel="0" collapsed="false">
      <c r="A6" s="35" t="s">
        <v>201</v>
      </c>
      <c r="B6" s="35" t="s">
        <v>155</v>
      </c>
      <c r="C6" s="35" t="s">
        <v>121</v>
      </c>
      <c r="D6" s="35"/>
      <c r="E6" s="35" t="s">
        <v>202</v>
      </c>
      <c r="F6" s="35"/>
      <c r="G6" s="35" t="s">
        <v>203</v>
      </c>
      <c r="H6" s="35"/>
      <c r="I6" s="35" t="s">
        <v>204</v>
      </c>
      <c r="J6" s="35" t="s">
        <v>205</v>
      </c>
      <c r="K6" s="35" t="s">
        <v>200</v>
      </c>
      <c r="L6" s="35" t="s">
        <v>196</v>
      </c>
      <c r="M6" s="35" t="s">
        <v>196</v>
      </c>
      <c r="N6" s="35" t="s">
        <v>196</v>
      </c>
      <c r="O6" s="35" t="s">
        <v>196</v>
      </c>
      <c r="P6" s="35" t="s">
        <v>196</v>
      </c>
    </row>
    <row r="7" customFormat="false" ht="15" hidden="false" customHeight="false" outlineLevel="0" collapsed="false">
      <c r="A7" s="35" t="s">
        <v>206</v>
      </c>
      <c r="B7" s="35" t="s">
        <v>207</v>
      </c>
      <c r="C7" s="35" t="s">
        <v>122</v>
      </c>
      <c r="D7" s="35"/>
      <c r="E7" s="35" t="s">
        <v>208</v>
      </c>
      <c r="F7" s="35"/>
      <c r="G7" s="35" t="s">
        <v>209</v>
      </c>
      <c r="H7" s="35"/>
      <c r="I7" s="35" t="s">
        <v>210</v>
      </c>
      <c r="J7" s="35" t="s">
        <v>205</v>
      </c>
      <c r="K7" s="35" t="s">
        <v>205</v>
      </c>
      <c r="L7" s="35" t="s">
        <v>196</v>
      </c>
      <c r="M7" s="35" t="s">
        <v>196</v>
      </c>
      <c r="N7" s="35" t="s">
        <v>196</v>
      </c>
      <c r="O7" s="35" t="s">
        <v>196</v>
      </c>
      <c r="P7" s="35" t="s">
        <v>196</v>
      </c>
    </row>
    <row r="8" customFormat="false" ht="15" hidden="false" customHeight="false" outlineLevel="0" collapsed="false">
      <c r="A8" s="35" t="s">
        <v>211</v>
      </c>
      <c r="B8" s="35" t="s">
        <v>207</v>
      </c>
      <c r="C8" s="35" t="s">
        <v>122</v>
      </c>
      <c r="D8" s="35"/>
      <c r="E8" s="35" t="s">
        <v>212</v>
      </c>
      <c r="F8" s="35"/>
      <c r="G8" s="35" t="s">
        <v>213</v>
      </c>
      <c r="H8" s="35"/>
      <c r="I8" s="35" t="s">
        <v>214</v>
      </c>
      <c r="J8" s="35" t="s">
        <v>205</v>
      </c>
      <c r="K8" s="35" t="s">
        <v>205</v>
      </c>
      <c r="L8" s="35" t="s">
        <v>205</v>
      </c>
      <c r="M8" s="35" t="s">
        <v>200</v>
      </c>
      <c r="N8" s="35" t="s">
        <v>196</v>
      </c>
      <c r="O8" s="35" t="s">
        <v>196</v>
      </c>
      <c r="P8" s="35" t="s">
        <v>196</v>
      </c>
    </row>
    <row r="9" customFormat="false" ht="15" hidden="false" customHeight="false" outlineLevel="0" collapsed="false">
      <c r="A9" s="35" t="s">
        <v>215</v>
      </c>
      <c r="B9" s="35" t="s">
        <v>216</v>
      </c>
      <c r="C9" s="35" t="s">
        <v>123</v>
      </c>
      <c r="D9" s="35"/>
      <c r="E9" s="35" t="s">
        <v>217</v>
      </c>
      <c r="F9" s="35"/>
      <c r="G9" s="35" t="s">
        <v>218</v>
      </c>
      <c r="H9" s="35"/>
      <c r="I9" s="35" t="s">
        <v>219</v>
      </c>
      <c r="J9" s="35" t="s">
        <v>205</v>
      </c>
      <c r="K9" s="35" t="s">
        <v>205</v>
      </c>
      <c r="L9" s="35" t="s">
        <v>205</v>
      </c>
      <c r="M9" s="35" t="s">
        <v>200</v>
      </c>
      <c r="N9" s="35" t="s">
        <v>196</v>
      </c>
      <c r="O9" s="35" t="s">
        <v>196</v>
      </c>
      <c r="P9" s="35" t="s">
        <v>196</v>
      </c>
    </row>
    <row r="10" customFormat="false" ht="15" hidden="false" customHeight="false" outlineLevel="0" collapsed="false">
      <c r="A10" s="35" t="s">
        <v>220</v>
      </c>
      <c r="B10" s="35" t="s">
        <v>216</v>
      </c>
      <c r="C10" s="35" t="s">
        <v>123</v>
      </c>
      <c r="D10" s="35"/>
      <c r="E10" s="35" t="s">
        <v>221</v>
      </c>
      <c r="F10" s="35"/>
      <c r="G10" s="35" t="s">
        <v>222</v>
      </c>
      <c r="H10" s="35"/>
      <c r="I10" s="35" t="s">
        <v>223</v>
      </c>
      <c r="J10" s="35" t="s">
        <v>205</v>
      </c>
      <c r="K10" s="35" t="s">
        <v>205</v>
      </c>
      <c r="L10" s="35" t="s">
        <v>205</v>
      </c>
      <c r="M10" s="35" t="s">
        <v>200</v>
      </c>
      <c r="N10" s="35" t="s">
        <v>196</v>
      </c>
      <c r="O10" s="35" t="s">
        <v>200</v>
      </c>
      <c r="P10" s="35" t="s">
        <v>196</v>
      </c>
    </row>
    <row r="11" customFormat="false" ht="15" hidden="false" customHeight="false" outlineLevel="0" collapsed="false">
      <c r="A11" s="35" t="s">
        <v>224</v>
      </c>
      <c r="B11" s="35" t="s">
        <v>216</v>
      </c>
      <c r="C11" s="35" t="s">
        <v>124</v>
      </c>
      <c r="D11" s="35"/>
      <c r="E11" s="35" t="s">
        <v>225</v>
      </c>
      <c r="F11" s="35"/>
      <c r="G11" s="35" t="s">
        <v>226</v>
      </c>
      <c r="H11" s="35"/>
      <c r="I11" s="35" t="s">
        <v>227</v>
      </c>
      <c r="J11" s="35" t="s">
        <v>205</v>
      </c>
      <c r="K11" s="35" t="s">
        <v>205</v>
      </c>
      <c r="L11" s="35" t="s">
        <v>205</v>
      </c>
      <c r="M11" s="35" t="s">
        <v>200</v>
      </c>
      <c r="N11" s="35" t="s">
        <v>196</v>
      </c>
      <c r="O11" s="35" t="s">
        <v>200</v>
      </c>
      <c r="P11" s="35" t="s">
        <v>196</v>
      </c>
    </row>
    <row r="12" customFormat="false" ht="15" hidden="false" customHeight="false" outlineLevel="0" collapsed="false">
      <c r="A12" s="35" t="s">
        <v>228</v>
      </c>
      <c r="B12" s="35" t="s">
        <v>216</v>
      </c>
      <c r="C12" s="35" t="s">
        <v>125</v>
      </c>
      <c r="D12" s="35"/>
      <c r="E12" s="35" t="s">
        <v>229</v>
      </c>
      <c r="F12" s="35"/>
      <c r="G12" s="35"/>
      <c r="H12" s="35"/>
      <c r="I12" s="35" t="s">
        <v>230</v>
      </c>
      <c r="J12" s="35" t="s">
        <v>205</v>
      </c>
      <c r="K12" s="35" t="s">
        <v>205</v>
      </c>
      <c r="L12" s="35" t="s">
        <v>205</v>
      </c>
      <c r="M12" s="35" t="s">
        <v>205</v>
      </c>
      <c r="N12" s="35" t="s">
        <v>196</v>
      </c>
      <c r="O12" s="35" t="s">
        <v>205</v>
      </c>
      <c r="P12" s="35" t="s">
        <v>196</v>
      </c>
    </row>
    <row r="13" customFormat="false" ht="15" hidden="false" customHeight="false" outlineLevel="0" collapsed="false">
      <c r="A13" s="35" t="s">
        <v>231</v>
      </c>
      <c r="B13" s="35" t="s">
        <v>232</v>
      </c>
      <c r="C13" s="35" t="s">
        <v>126</v>
      </c>
      <c r="D13" s="35"/>
      <c r="E13" s="35" t="s">
        <v>233</v>
      </c>
      <c r="F13" s="35"/>
      <c r="G13" s="35"/>
      <c r="H13" s="35"/>
      <c r="I13" s="35" t="s">
        <v>234</v>
      </c>
      <c r="J13" s="35" t="s">
        <v>205</v>
      </c>
      <c r="K13" s="35" t="s">
        <v>205</v>
      </c>
      <c r="L13" s="35" t="s">
        <v>205</v>
      </c>
      <c r="M13" s="35" t="s">
        <v>205</v>
      </c>
      <c r="N13" s="35" t="s">
        <v>196</v>
      </c>
      <c r="O13" s="35" t="s">
        <v>205</v>
      </c>
      <c r="P13" s="35" t="s">
        <v>196</v>
      </c>
    </row>
    <row r="14" customFormat="false" ht="15" hidden="false" customHeight="false" outlineLevel="0" collapsed="false">
      <c r="A14" s="35" t="s">
        <v>235</v>
      </c>
      <c r="B14" s="35" t="s">
        <v>232</v>
      </c>
      <c r="C14" s="35" t="s">
        <v>126</v>
      </c>
      <c r="D14" s="35"/>
      <c r="E14" s="35" t="s">
        <v>236</v>
      </c>
      <c r="F14" s="35"/>
      <c r="G14" s="35"/>
      <c r="H14" s="35"/>
      <c r="I14" s="35" t="s">
        <v>237</v>
      </c>
      <c r="J14" s="35" t="s">
        <v>205</v>
      </c>
      <c r="K14" s="35" t="s">
        <v>205</v>
      </c>
      <c r="L14" s="35" t="s">
        <v>205</v>
      </c>
      <c r="M14" s="35" t="s">
        <v>205</v>
      </c>
      <c r="N14" s="35" t="s">
        <v>205</v>
      </c>
      <c r="O14" s="35" t="s">
        <v>205</v>
      </c>
      <c r="P14" s="35" t="s">
        <v>205</v>
      </c>
    </row>
    <row r="15" customFormat="false" ht="15" hidden="false" customHeight="false" outlineLevel="0" collapsed="false">
      <c r="A15" s="35" t="s">
        <v>238</v>
      </c>
      <c r="B15" s="35" t="s">
        <v>232</v>
      </c>
      <c r="C15" s="35" t="s">
        <v>126</v>
      </c>
      <c r="D15" s="35"/>
      <c r="E15" s="35"/>
      <c r="F15" s="35"/>
      <c r="G15" s="35"/>
      <c r="H15" s="35"/>
      <c r="I15" s="35"/>
      <c r="J15" s="35"/>
      <c r="K15" s="35"/>
      <c r="L15" s="35"/>
      <c r="M15" s="35"/>
      <c r="N15" s="35"/>
      <c r="O15" s="35"/>
      <c r="P15" s="35"/>
    </row>
    <row r="16" customFormat="false" ht="15" hidden="false" customHeight="false" outlineLevel="0" collapsed="false">
      <c r="A16" s="35" t="s">
        <v>239</v>
      </c>
      <c r="B16" s="35" t="s">
        <v>240</v>
      </c>
      <c r="C16" s="35" t="s">
        <v>240</v>
      </c>
      <c r="D16" s="35"/>
      <c r="E16" s="35"/>
      <c r="F16" s="35"/>
      <c r="G16" s="35"/>
      <c r="H16" s="35"/>
      <c r="I16" s="83" t="s">
        <v>241</v>
      </c>
      <c r="J16" s="35"/>
      <c r="K16" s="35"/>
      <c r="L16" s="35"/>
      <c r="M16" s="35"/>
      <c r="N16" s="35"/>
      <c r="O16" s="35"/>
      <c r="P16" s="35"/>
    </row>
    <row r="17" customFormat="false" ht="15" hidden="false" customHeight="false" outlineLevel="0" collapsed="false">
      <c r="A17" s="35"/>
      <c r="B17" s="35"/>
      <c r="C17" s="35"/>
      <c r="D17" s="35"/>
      <c r="E17" s="35"/>
      <c r="F17" s="35"/>
      <c r="G17" s="35"/>
      <c r="H17" s="35"/>
      <c r="I17" s="35"/>
      <c r="J17" s="35"/>
      <c r="K17" s="35"/>
      <c r="L17" s="35"/>
      <c r="M17" s="35"/>
      <c r="N17" s="35"/>
      <c r="O17" s="35"/>
      <c r="P17" s="35"/>
    </row>
    <row r="18" customFormat="false" ht="15" hidden="false" customHeight="false" outlineLevel="0" collapsed="false">
      <c r="A18" s="35"/>
      <c r="B18" s="35"/>
      <c r="C18" s="35"/>
      <c r="D18" s="35"/>
      <c r="E18" s="35"/>
      <c r="F18" s="35"/>
      <c r="G18" s="35"/>
      <c r="H18" s="35"/>
      <c r="I18" s="35"/>
      <c r="J18" s="35"/>
      <c r="K18" s="35"/>
      <c r="L18" s="35"/>
      <c r="M18" s="35"/>
      <c r="N18" s="35"/>
      <c r="O18" s="35"/>
      <c r="P18" s="35"/>
    </row>
    <row r="19" customFormat="false" ht="15" hidden="false" customHeight="false" outlineLevel="0" collapsed="false">
      <c r="A19" s="35"/>
      <c r="B19" s="35"/>
      <c r="C19" s="35"/>
      <c r="D19" s="35"/>
      <c r="E19" s="35"/>
      <c r="F19" s="35"/>
      <c r="G19" s="35"/>
      <c r="H19" s="35"/>
      <c r="I19" s="35"/>
      <c r="J19" s="35"/>
      <c r="K19" s="35"/>
      <c r="L19" s="35"/>
      <c r="M19" s="35"/>
      <c r="N19" s="35"/>
      <c r="O19" s="35"/>
      <c r="P19" s="35"/>
    </row>
    <row r="20" customFormat="false" ht="15" hidden="false" customHeight="false" outlineLevel="0" collapsed="false">
      <c r="A20" s="76" t="s">
        <v>141</v>
      </c>
      <c r="B20" s="76" t="s">
        <v>168</v>
      </c>
      <c r="C20" s="76" t="s">
        <v>242</v>
      </c>
      <c r="D20" s="35"/>
      <c r="E20" s="76" t="s">
        <v>243</v>
      </c>
      <c r="F20" s="35"/>
      <c r="G20" s="76" t="s">
        <v>244</v>
      </c>
      <c r="H20" s="35"/>
      <c r="I20" s="35"/>
      <c r="J20" s="35"/>
      <c r="K20" s="35"/>
      <c r="L20" s="35"/>
      <c r="M20" s="35"/>
      <c r="N20" s="35"/>
      <c r="O20" s="35"/>
      <c r="P20" s="35"/>
    </row>
    <row r="21" customFormat="false" ht="15" hidden="false" customHeight="false" outlineLevel="0" collapsed="false">
      <c r="A21" s="35" t="s">
        <v>245</v>
      </c>
      <c r="B21" s="35" t="s">
        <v>246</v>
      </c>
      <c r="C21" s="35" t="s">
        <v>247</v>
      </c>
      <c r="D21" s="35"/>
      <c r="E21" s="35" t="s">
        <v>248</v>
      </c>
      <c r="F21" s="35"/>
      <c r="G21" s="35" t="n">
        <v>1</v>
      </c>
      <c r="H21" s="35"/>
      <c r="I21" s="35"/>
      <c r="J21" s="35"/>
      <c r="K21" s="35"/>
      <c r="L21" s="35"/>
      <c r="M21" s="35"/>
      <c r="N21" s="35"/>
      <c r="O21" s="35"/>
      <c r="P21" s="35"/>
    </row>
    <row r="22" customFormat="false" ht="15" hidden="false" customHeight="false" outlineLevel="0" collapsed="false">
      <c r="A22" s="35" t="s">
        <v>249</v>
      </c>
      <c r="B22" s="35" t="s">
        <v>250</v>
      </c>
      <c r="C22" s="35" t="s">
        <v>251</v>
      </c>
      <c r="D22" s="35"/>
      <c r="E22" s="35" t="s">
        <v>252</v>
      </c>
      <c r="F22" s="35"/>
      <c r="G22" s="35" t="n">
        <v>1</v>
      </c>
      <c r="H22" s="35"/>
      <c r="I22" s="35"/>
      <c r="J22" s="35"/>
      <c r="K22" s="35"/>
      <c r="L22" s="35"/>
      <c r="M22" s="35"/>
      <c r="N22" s="35"/>
      <c r="O22" s="35"/>
      <c r="P22" s="35"/>
    </row>
    <row r="23" customFormat="false" ht="15" hidden="false" customHeight="false" outlineLevel="0" collapsed="false">
      <c r="A23" s="35" t="s">
        <v>253</v>
      </c>
      <c r="B23" s="35" t="s">
        <v>254</v>
      </c>
      <c r="C23" s="35" t="s">
        <v>255</v>
      </c>
      <c r="D23" s="35"/>
      <c r="E23" s="35" t="s">
        <v>256</v>
      </c>
      <c r="F23" s="35"/>
      <c r="G23" s="35" t="n">
        <v>1</v>
      </c>
      <c r="H23" s="35"/>
      <c r="I23" s="35"/>
      <c r="J23" s="35"/>
      <c r="K23" s="35"/>
      <c r="L23" s="35"/>
      <c r="M23" s="35"/>
      <c r="N23" s="35"/>
      <c r="O23" s="35"/>
      <c r="P23" s="35"/>
    </row>
    <row r="24" customFormat="false" ht="15" hidden="false" customHeight="false" outlineLevel="0" collapsed="false">
      <c r="A24" s="35" t="s">
        <v>257</v>
      </c>
      <c r="B24" s="35" t="s">
        <v>258</v>
      </c>
      <c r="C24" s="35" t="s">
        <v>259</v>
      </c>
      <c r="D24" s="35"/>
      <c r="E24" s="35" t="s">
        <v>260</v>
      </c>
      <c r="F24" s="35"/>
      <c r="G24" s="35" t="n">
        <v>0</v>
      </c>
      <c r="H24" s="35"/>
      <c r="I24" s="35"/>
      <c r="J24" s="35"/>
      <c r="K24" s="35"/>
      <c r="L24" s="35"/>
      <c r="M24" s="35"/>
      <c r="N24" s="35"/>
      <c r="O24" s="35"/>
      <c r="P24" s="35"/>
    </row>
    <row r="25" customFormat="false" ht="15" hidden="false" customHeight="false" outlineLevel="0" collapsed="false">
      <c r="A25" s="35" t="s">
        <v>261</v>
      </c>
      <c r="B25" s="35" t="s">
        <v>262</v>
      </c>
      <c r="C25" s="35" t="s">
        <v>263</v>
      </c>
      <c r="D25" s="35"/>
      <c r="E25" s="35" t="s">
        <v>264</v>
      </c>
      <c r="F25" s="35"/>
      <c r="G25" s="35" t="n">
        <v>0</v>
      </c>
      <c r="H25" s="35"/>
      <c r="I25" s="35"/>
      <c r="J25" s="35"/>
      <c r="K25" s="35"/>
      <c r="L25" s="35"/>
      <c r="M25" s="35"/>
      <c r="N25" s="35"/>
      <c r="O25" s="35"/>
      <c r="P25" s="35"/>
    </row>
    <row r="26" customFormat="false" ht="15" hidden="false" customHeight="false" outlineLevel="0" collapsed="false">
      <c r="A26" s="35"/>
      <c r="B26" s="35"/>
      <c r="C26" s="35"/>
      <c r="D26" s="35"/>
      <c r="E26" s="35"/>
      <c r="F26" s="35"/>
      <c r="G26" s="35"/>
      <c r="H26" s="35"/>
      <c r="I26" s="35"/>
      <c r="J26" s="35"/>
      <c r="K26" s="35"/>
      <c r="L26" s="35"/>
      <c r="M26" s="35"/>
      <c r="N26" s="35"/>
      <c r="O26" s="35"/>
      <c r="P26" s="35"/>
    </row>
    <row r="27" customFormat="false" ht="15" hidden="false" customHeight="false" outlineLevel="0" collapsed="false">
      <c r="A27" s="35"/>
      <c r="B27" s="35"/>
      <c r="C27" s="35"/>
      <c r="D27" s="35"/>
      <c r="E27" s="35"/>
      <c r="F27" s="35"/>
      <c r="G27" s="35"/>
      <c r="H27" s="35"/>
      <c r="I27" s="35"/>
      <c r="J27" s="35"/>
      <c r="K27" s="35"/>
      <c r="L27" s="35"/>
      <c r="M27" s="35"/>
      <c r="N27" s="35"/>
      <c r="O27" s="35"/>
      <c r="P27" s="35"/>
    </row>
    <row r="28" customFormat="false" ht="15" hidden="false" customHeight="false" outlineLevel="0" collapsed="false">
      <c r="A28" s="35"/>
      <c r="B28" s="35"/>
      <c r="C28" s="35"/>
      <c r="D28" s="35"/>
      <c r="E28" s="35"/>
      <c r="F28" s="35"/>
      <c r="G28" s="35"/>
      <c r="H28" s="35"/>
      <c r="I28" s="35"/>
      <c r="J28" s="35"/>
      <c r="K28" s="35"/>
      <c r="L28" s="35"/>
      <c r="M28" s="35"/>
      <c r="N28" s="35"/>
      <c r="O28" s="35"/>
      <c r="P28" s="35"/>
    </row>
    <row r="29" customFormat="false" ht="15" hidden="false" customHeight="false" outlineLevel="0" collapsed="false">
      <c r="A29" s="76" t="s">
        <v>265</v>
      </c>
      <c r="B29" s="35"/>
      <c r="C29" s="35"/>
      <c r="D29" s="35"/>
      <c r="E29" s="35"/>
      <c r="F29" s="35"/>
      <c r="G29" s="35"/>
      <c r="H29" s="35"/>
      <c r="I29" s="35"/>
      <c r="J29" s="35"/>
      <c r="K29" s="35"/>
      <c r="L29" s="35"/>
      <c r="M29" s="35"/>
      <c r="N29" s="35"/>
      <c r="O29" s="35"/>
      <c r="P29" s="35"/>
    </row>
    <row r="30" customFormat="false" ht="15" hidden="false" customHeight="false" outlineLevel="0" collapsed="false">
      <c r="A30" s="35" t="s">
        <v>120</v>
      </c>
      <c r="B30" s="35"/>
      <c r="C30" s="35"/>
      <c r="D30" s="35"/>
      <c r="E30" s="35"/>
      <c r="F30" s="35"/>
      <c r="G30" s="35"/>
      <c r="H30" s="35"/>
      <c r="I30" s="35"/>
      <c r="J30" s="35"/>
      <c r="K30" s="35"/>
      <c r="L30" s="35"/>
      <c r="M30" s="35"/>
      <c r="N30" s="35"/>
      <c r="O30" s="35"/>
      <c r="P30" s="35"/>
    </row>
    <row r="31" customFormat="false" ht="15" hidden="false" customHeight="false" outlineLevel="0" collapsed="false">
      <c r="A31" s="35" t="s">
        <v>121</v>
      </c>
      <c r="B31" s="35"/>
      <c r="C31" s="35"/>
      <c r="D31" s="35"/>
      <c r="E31" s="35"/>
      <c r="F31" s="35"/>
      <c r="G31" s="35"/>
      <c r="H31" s="35"/>
      <c r="I31" s="35"/>
      <c r="J31" s="35"/>
      <c r="K31" s="35"/>
      <c r="L31" s="35"/>
      <c r="M31" s="35"/>
      <c r="N31" s="35"/>
      <c r="O31" s="35"/>
      <c r="P31" s="35"/>
    </row>
    <row r="32" customFormat="false" ht="15" hidden="false" customHeight="false" outlineLevel="0" collapsed="false">
      <c r="A32" s="35" t="s">
        <v>122</v>
      </c>
      <c r="B32" s="35"/>
      <c r="C32" s="35"/>
      <c r="D32" s="35"/>
      <c r="E32" s="35"/>
      <c r="F32" s="35"/>
      <c r="G32" s="35"/>
      <c r="H32" s="35"/>
      <c r="I32" s="35"/>
      <c r="J32" s="35"/>
      <c r="K32" s="35"/>
      <c r="L32" s="35"/>
      <c r="M32" s="35"/>
      <c r="N32" s="35"/>
      <c r="O32" s="35"/>
      <c r="P32" s="35"/>
    </row>
    <row r="33" customFormat="false" ht="15" hidden="false" customHeight="false" outlineLevel="0" collapsed="false">
      <c r="A33" s="35" t="s">
        <v>123</v>
      </c>
      <c r="B33" s="35"/>
      <c r="C33" s="35"/>
      <c r="D33" s="35"/>
      <c r="E33" s="35"/>
      <c r="F33" s="35"/>
      <c r="G33" s="35"/>
      <c r="H33" s="35"/>
      <c r="I33" s="35"/>
      <c r="J33" s="35"/>
      <c r="K33" s="35"/>
      <c r="L33" s="35"/>
      <c r="M33" s="35"/>
      <c r="N33" s="35"/>
      <c r="O33" s="35"/>
      <c r="P33" s="35"/>
    </row>
    <row r="34" customFormat="false" ht="15" hidden="false" customHeight="false" outlineLevel="0" collapsed="false">
      <c r="A34" s="35" t="s">
        <v>124</v>
      </c>
      <c r="B34" s="35"/>
      <c r="C34" s="35"/>
      <c r="D34" s="35"/>
      <c r="E34" s="35"/>
      <c r="F34" s="35"/>
      <c r="G34" s="35"/>
      <c r="H34" s="35"/>
      <c r="I34" s="35"/>
      <c r="J34" s="35"/>
      <c r="K34" s="35"/>
      <c r="L34" s="35"/>
      <c r="M34" s="35"/>
      <c r="N34" s="35"/>
      <c r="O34" s="35"/>
      <c r="P34" s="35"/>
    </row>
    <row r="35" customFormat="false" ht="15" hidden="false" customHeight="false" outlineLevel="0" collapsed="false">
      <c r="A35" s="35" t="s">
        <v>125</v>
      </c>
      <c r="B35" s="35"/>
      <c r="C35" s="35"/>
      <c r="D35" s="35"/>
      <c r="E35" s="35"/>
      <c r="F35" s="35"/>
      <c r="G35" s="35"/>
      <c r="H35" s="35"/>
      <c r="I35" s="35"/>
      <c r="J35" s="35"/>
      <c r="K35" s="35"/>
      <c r="L35" s="35"/>
      <c r="M35" s="35"/>
      <c r="N35" s="35"/>
      <c r="O35" s="35"/>
      <c r="P35" s="35"/>
    </row>
    <row r="36" customFormat="false" ht="15" hidden="false" customHeight="false" outlineLevel="0" collapsed="false">
      <c r="A36" s="35" t="s">
        <v>126</v>
      </c>
      <c r="B36" s="35"/>
      <c r="C36" s="35"/>
      <c r="D36" s="35"/>
      <c r="E36" s="35"/>
      <c r="F36" s="35"/>
      <c r="G36" s="35"/>
      <c r="H36" s="35"/>
      <c r="I36" s="35"/>
      <c r="J36" s="35"/>
      <c r="K36" s="35"/>
      <c r="L36" s="35"/>
      <c r="M36" s="35"/>
      <c r="N36" s="35"/>
      <c r="O36" s="35"/>
      <c r="P36" s="35"/>
    </row>
    <row r="37" customFormat="false" ht="15" hidden="false" customHeight="false" outlineLevel="0" collapsed="false">
      <c r="A37" s="35"/>
      <c r="B37" s="35"/>
      <c r="C37" s="35"/>
      <c r="D37" s="35"/>
      <c r="E37" s="35"/>
      <c r="F37" s="35"/>
      <c r="G37" s="35"/>
      <c r="H37" s="35"/>
      <c r="I37" s="35"/>
      <c r="J37" s="35"/>
      <c r="K37" s="35"/>
      <c r="L37" s="35"/>
      <c r="M37" s="35"/>
      <c r="N37" s="35"/>
      <c r="O37" s="35"/>
      <c r="P37" s="35"/>
    </row>
    <row r="38" customFormat="false" ht="15" hidden="false" customHeight="false" outlineLevel="0" collapsed="false">
      <c r="A38" s="35"/>
      <c r="B38" s="35"/>
      <c r="C38" s="35"/>
      <c r="D38" s="35"/>
      <c r="E38" s="35"/>
      <c r="F38" s="35"/>
      <c r="G38" s="35"/>
      <c r="H38" s="35"/>
      <c r="I38" s="35"/>
      <c r="J38" s="35"/>
      <c r="K38" s="35"/>
      <c r="L38" s="35"/>
      <c r="M38" s="35"/>
      <c r="N38" s="35"/>
      <c r="O38" s="35"/>
      <c r="P38" s="35"/>
    </row>
    <row r="39" customFormat="false" ht="15" hidden="false" customHeight="false" outlineLevel="0" collapsed="false">
      <c r="A39" s="35"/>
      <c r="B39" s="35"/>
      <c r="C39" s="35"/>
      <c r="D39" s="35"/>
      <c r="E39" s="35"/>
      <c r="F39" s="35"/>
      <c r="G39" s="35"/>
      <c r="H39" s="35"/>
      <c r="I39" s="35"/>
      <c r="J39" s="35"/>
      <c r="K39" s="35"/>
      <c r="L39" s="35"/>
      <c r="M39" s="35"/>
      <c r="N39" s="35"/>
      <c r="O39" s="35"/>
      <c r="P39" s="35"/>
    </row>
    <row r="40" customFormat="false" ht="15" hidden="false" customHeight="false" outlineLevel="0" collapsed="false">
      <c r="A40" s="76" t="s">
        <v>266</v>
      </c>
      <c r="B40" s="76" t="s">
        <v>267</v>
      </c>
      <c r="C40" s="76" t="s">
        <v>268</v>
      </c>
      <c r="D40" s="35"/>
      <c r="E40" s="35"/>
      <c r="F40" s="35"/>
      <c r="G40" s="35"/>
      <c r="H40" s="35"/>
      <c r="I40" s="35"/>
      <c r="J40" s="35"/>
      <c r="K40" s="35"/>
      <c r="L40" s="35"/>
      <c r="M40" s="35"/>
      <c r="N40" s="35"/>
      <c r="O40" s="35"/>
      <c r="P40" s="35"/>
    </row>
    <row r="41" customFormat="false" ht="15" hidden="false" customHeight="false" outlineLevel="0" collapsed="false">
      <c r="A41" s="35" t="s">
        <v>269</v>
      </c>
      <c r="B41" s="84" t="n">
        <v>6000</v>
      </c>
      <c r="C41" s="35" t="s">
        <v>270</v>
      </c>
      <c r="D41" s="35"/>
      <c r="E41" s="35"/>
      <c r="F41" s="35"/>
      <c r="G41" s="35"/>
      <c r="H41" s="35"/>
      <c r="I41" s="35"/>
      <c r="J41" s="35"/>
      <c r="K41" s="35"/>
      <c r="L41" s="35"/>
      <c r="M41" s="35"/>
      <c r="N41" s="35"/>
      <c r="O41" s="35"/>
      <c r="P41" s="35"/>
    </row>
    <row r="42" customFormat="false" ht="15" hidden="false" customHeight="false" outlineLevel="0" collapsed="false">
      <c r="A42" s="35" t="s">
        <v>271</v>
      </c>
      <c r="B42" s="84" t="n">
        <v>7</v>
      </c>
      <c r="C42" s="35" t="s">
        <v>272</v>
      </c>
      <c r="D42" s="35"/>
      <c r="E42" s="35"/>
      <c r="F42" s="35"/>
      <c r="G42" s="35"/>
      <c r="H42" s="35"/>
      <c r="I42" s="35"/>
      <c r="J42" s="35"/>
      <c r="K42" s="35"/>
      <c r="L42" s="35"/>
      <c r="M42" s="35"/>
      <c r="N42" s="35"/>
      <c r="O42" s="35"/>
      <c r="P42" s="35"/>
    </row>
    <row r="43" customFormat="false" ht="15" hidden="false" customHeight="false" outlineLevel="0" collapsed="false">
      <c r="A43" s="35" t="s">
        <v>273</v>
      </c>
      <c r="B43" s="84" t="n">
        <v>0</v>
      </c>
      <c r="C43" s="35" t="s">
        <v>274</v>
      </c>
      <c r="D43" s="35"/>
      <c r="E43" s="35"/>
      <c r="F43" s="35"/>
      <c r="G43" s="35"/>
      <c r="H43" s="35"/>
      <c r="I43" s="35"/>
      <c r="J43" s="35"/>
      <c r="K43" s="35"/>
      <c r="L43" s="35"/>
      <c r="M43" s="35"/>
      <c r="N43" s="35"/>
      <c r="O43" s="35"/>
      <c r="P43" s="35"/>
    </row>
    <row r="44" customFormat="false" ht="15" hidden="false" customHeight="false" outlineLevel="0" collapsed="false">
      <c r="A44" s="35" t="s">
        <v>275</v>
      </c>
      <c r="B44" s="84" t="n">
        <v>0.01</v>
      </c>
      <c r="C44" s="35" t="s">
        <v>276</v>
      </c>
      <c r="D44" s="35"/>
      <c r="E44" s="35"/>
      <c r="F44" s="35"/>
      <c r="G44" s="35"/>
      <c r="H44" s="35"/>
      <c r="I44" s="35"/>
      <c r="J44" s="35"/>
      <c r="K44" s="35"/>
      <c r="L44" s="35"/>
      <c r="M44" s="35"/>
      <c r="N44" s="35"/>
      <c r="O44" s="35"/>
      <c r="P44" s="35"/>
    </row>
    <row r="45" customFormat="false" ht="15" hidden="false" customHeight="false" outlineLevel="0" collapsed="false">
      <c r="A45" s="35"/>
      <c r="B45" s="35"/>
      <c r="C45" s="35"/>
      <c r="D45" s="35"/>
      <c r="E45" s="35"/>
      <c r="F45" s="35"/>
      <c r="G45" s="35"/>
      <c r="H45" s="35"/>
      <c r="I45" s="35"/>
      <c r="J45" s="35"/>
      <c r="K45" s="35"/>
      <c r="L45" s="35"/>
      <c r="M45" s="35"/>
      <c r="N45" s="35"/>
      <c r="O45" s="35"/>
      <c r="P45" s="35"/>
    </row>
    <row r="46" customFormat="false" ht="15" hidden="false" customHeight="false" outlineLevel="0" collapsed="false">
      <c r="A46" s="35"/>
      <c r="B46" s="35"/>
      <c r="C46" s="35"/>
      <c r="D46" s="35"/>
      <c r="E46" s="35"/>
      <c r="F46" s="35"/>
      <c r="G46" s="35"/>
      <c r="H46" s="35"/>
      <c r="I46" s="35"/>
      <c r="J46" s="35"/>
      <c r="K46" s="35"/>
      <c r="L46" s="35"/>
      <c r="M46" s="35"/>
      <c r="N46" s="35"/>
      <c r="O46" s="35"/>
      <c r="P46" s="35"/>
    </row>
    <row r="47" customFormat="false" ht="15" hidden="false" customHeight="false" outlineLevel="0" collapsed="false">
      <c r="A47" s="35"/>
      <c r="B47" s="35"/>
      <c r="C47" s="35"/>
      <c r="D47" s="35"/>
      <c r="E47" s="35"/>
      <c r="F47" s="35"/>
      <c r="G47" s="35"/>
      <c r="H47" s="35"/>
      <c r="I47" s="35"/>
      <c r="J47" s="35"/>
      <c r="K47" s="35"/>
      <c r="L47" s="35"/>
      <c r="M47" s="35"/>
      <c r="N47" s="35"/>
      <c r="O47" s="35"/>
      <c r="P47" s="35"/>
    </row>
    <row r="48" customFormat="false" ht="15" hidden="false" customHeight="false" outlineLevel="0" collapsed="false">
      <c r="A48" s="35"/>
      <c r="B48" s="35"/>
      <c r="C48" s="35"/>
      <c r="D48" s="35"/>
      <c r="E48" s="35"/>
      <c r="F48" s="35"/>
      <c r="G48" s="35"/>
      <c r="H48" s="35"/>
      <c r="I48" s="35"/>
      <c r="J48" s="35"/>
      <c r="K48" s="35"/>
      <c r="L48" s="35"/>
      <c r="M48" s="35"/>
      <c r="N48" s="35"/>
      <c r="O48" s="35"/>
      <c r="P48" s="35"/>
    </row>
    <row r="49" customFormat="false" ht="15" hidden="false" customHeight="false" outlineLevel="0" collapsed="false">
      <c r="A49" s="35"/>
      <c r="B49" s="35"/>
      <c r="C49" s="35"/>
      <c r="D49" s="35"/>
      <c r="E49" s="35"/>
      <c r="F49" s="35"/>
      <c r="G49" s="35"/>
      <c r="H49" s="35"/>
      <c r="I49" s="35"/>
      <c r="J49" s="35"/>
      <c r="K49" s="35"/>
      <c r="L49" s="35"/>
      <c r="M49" s="35"/>
      <c r="N49" s="35"/>
      <c r="O49" s="35"/>
      <c r="P49" s="35"/>
    </row>
    <row r="50" customFormat="false" ht="15" hidden="false" customHeight="false" outlineLevel="0" collapsed="false">
      <c r="A50" s="35"/>
      <c r="B50" s="35"/>
      <c r="C50" s="35"/>
      <c r="D50" s="35"/>
      <c r="E50" s="35"/>
      <c r="F50" s="35"/>
      <c r="G50" s="35"/>
      <c r="H50" s="35"/>
      <c r="I50" s="35"/>
      <c r="J50" s="35"/>
      <c r="K50" s="35"/>
      <c r="L50" s="35"/>
      <c r="M50" s="35"/>
      <c r="N50" s="35"/>
      <c r="O50" s="35"/>
      <c r="P50"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277</v>
      </c>
      <c r="B1" s="0" t="s">
        <v>278</v>
      </c>
      <c r="C1" s="0" t="s">
        <v>130</v>
      </c>
      <c r="D1" s="0" t="s">
        <v>113</v>
      </c>
      <c r="E1" s="0" t="s">
        <v>192</v>
      </c>
      <c r="F1" s="0" t="s">
        <v>134</v>
      </c>
      <c r="G1" s="0" t="s">
        <v>279</v>
      </c>
      <c r="H1" s="0" t="s">
        <v>132</v>
      </c>
      <c r="I1" s="0" t="s">
        <v>133</v>
      </c>
      <c r="J1" s="0" t="s">
        <v>280</v>
      </c>
      <c r="K1" s="0" t="s">
        <v>281</v>
      </c>
      <c r="L1" s="0" t="s">
        <v>282</v>
      </c>
      <c r="M1" s="0" t="s">
        <v>283</v>
      </c>
      <c r="N1" s="0" t="s">
        <v>284</v>
      </c>
      <c r="O1" s="0" t="s">
        <v>285</v>
      </c>
      <c r="P1" s="0" t="s">
        <v>286</v>
      </c>
      <c r="Q1" s="0" t="s">
        <v>287</v>
      </c>
      <c r="R1" s="0" t="s">
        <v>288</v>
      </c>
      <c r="S1" s="0" t="s">
        <v>289</v>
      </c>
      <c r="T1" s="0" t="s">
        <v>290</v>
      </c>
      <c r="U1" s="0" t="s">
        <v>291</v>
      </c>
      <c r="V1" s="0" t="s">
        <v>292</v>
      </c>
      <c r="W1" s="0" t="s">
        <v>293</v>
      </c>
      <c r="X1" s="0" t="s">
        <v>294</v>
      </c>
      <c r="Y1" s="0" t="s">
        <v>295</v>
      </c>
    </row>
    <row r="2" customFormat="false" ht="15" hidden="false" customHeight="false" outlineLevel="0" collapsed="false">
      <c r="A2" s="0" t="n">
        <v>1</v>
      </c>
      <c r="B2" s="0" t="str">
        <f aca="false">TRIM(Audit!$B$54)</f>
        <v/>
      </c>
      <c r="C2" s="0" t="str">
        <f aca="false">Audit!$C$54&amp;""</f>
        <v/>
      </c>
      <c r="D2" s="0" t="str">
        <f aca="false">IF(B2="","",IF(C2="","Other",IFERROR(INDEX(Lists!$C$4:$C$16,MATCH(C2,Lists!$A$4:$A$16,0)),"Other")))</f>
        <v/>
      </c>
      <c r="E2" s="0" t="str">
        <f aca="false">IF(B2="","",IF(C2="","Other",IFERROR(INDEX(Lists!$B$4:$B$16,MATCH(C2,Lists!$A$4:$A$16,0)),"Other")))</f>
        <v/>
      </c>
      <c r="F2" s="0" t="str">
        <f aca="false">Audit!$G$54&amp;""</f>
        <v/>
      </c>
      <c r="G2" s="0" t="n">
        <f aca="false">IFERROR(MATCH(Audit!$D$54,Lists!$E$4:$E$14,0),0)</f>
        <v>0</v>
      </c>
      <c r="H2" s="0" t="str">
        <f aca="false">IF(ISNUMBER(Audit!$E$54),Audit!$E$54,"")</f>
        <v/>
      </c>
      <c r="I2" s="0" t="n">
        <f aca="false">IF(TRIM(Audit!$F$54)="",Audit!$C$25,TRIM(Audit!$F$54))</f>
        <v>0</v>
      </c>
      <c r="J2" s="0" t="n">
        <f aca="false">IF(OR(I2=Audit!$C$25,I2=""),1,IF(AND(I2=Audit!$C$31,ISNUMBER(Audit!$J$31)),Audit!$J$31,IF(AND(I2=Audit!$C$32,ISNUMBER(Audit!$J$32)),Audit!$J$32,"")))</f>
        <v>1</v>
      </c>
      <c r="K2" s="0" t="str">
        <f aca="false">IF(B2="","",IF(ISNUMBER(Audit!$I$54),Audit!$I$54,IF(G2=0,"",CHOOSE(G2,IF(ISNUMBER(Audit!$C$26),Audit!$C$26,1),1,1,1,$AF$33,$AF$30,$AF$31,1,"",1,0))))</f>
        <v/>
      </c>
      <c r="L2" s="0" t="str">
        <f aca="false">IF(O2=1,ROUND(MAX(H2*K2,IF(ISNUMBER(Audit!$J$54),Audit!$J$54,0)),2),"")</f>
        <v/>
      </c>
      <c r="M2" s="0" t="str">
        <f aca="false">IF(O2=1,ROUND(L2*(1+Y2),2),"")</f>
        <v/>
      </c>
      <c r="N2" s="0" t="str">
        <f aca="false">IF(O2=1,IF(ISNUMBER(J2),ROUND(M2*J2,2),""),"")</f>
        <v/>
      </c>
      <c r="O2" s="0" t="n">
        <f aca="false">IF(AND(B2&lt;&gt;"",OR(F2="Firm",F2="Estimate",F2="If required"),ISNUMBER(H2),G2&gt;0,G2&lt;&gt;11,ISNUMBER(K2)),1,0)</f>
        <v>0</v>
      </c>
      <c r="P2" s="0" t="str">
        <f aca="false">IF(ISNUMBER(Audit!$L$54),Audit!$L$54,"")</f>
        <v/>
      </c>
      <c r="Q2" s="0" t="str">
        <f aca="false">IF(B2="","",IF(OR(F2="At cost",F2="TBC"),"Not priced ("&amp;F2&amp;")",IF(OR(F2="Included",F2="Excluded",F2="Not applicable"),F2,IF(F2="","Status missing",IF(AND(F2="If required",NOT(ISNUMBER(H2))),"Not priced (if required)",IF(G2=0,"Basis missing",IF(G2=11,"Not priced (at cost)",IF(NOT(ISNUMBER(H2)),"Rate missing",IF(AND(G2=9,NOT(ISNUMBER(Audit!$I$54))),"Base amount missing",IF(NOT(ISNUMBER(J2)),"Exchange rate missing",IF(NOT(ISNUMBER(P2)),"Calculated — Not Independently Verified",IF(ABS(R2)&lt;=Lists!$B$44,"Verified","Error - differs by "&amp;TEXT(R2,"#,##0.00")&amp;" "&amp;I2))))))))))))</f>
        <v/>
      </c>
      <c r="R2" s="0" t="str">
        <f aca="false">IF(AND(O2=1,ISNUMBER(P2)),IF(ABS(P2-L2)&lt;=ABS(P2-M2),P2-L2,P2-M2),"")</f>
        <v/>
      </c>
      <c r="S2" s="0" t="n">
        <f aca="false">IF(AND(O2=1,ISNUMBER(Audit!$M$54),ISNUMBER(J2)),IF(H2-Audit!$M$54&gt;0.005,ROUND((H2-Audit!$M$54)*K2*(1+Y2)*J2,2),0),0)</f>
        <v>0</v>
      </c>
      <c r="T2" s="0" t="str">
        <f aca="false">Audit!$N$54&amp;""</f>
        <v/>
      </c>
      <c r="U2" s="0" t="n">
        <f aca="false">IF(B2="",0,IF(COUNTIFS($B$2:$B$51,B2,$D$2:$D$51,D2)&gt;1,1,0))</f>
        <v>0</v>
      </c>
      <c r="V2" s="0" t="str">
        <f aca="false">IF(D2="","",IFERROR(INDEX(Audit!$C$43:$C$49,MATCH(D2,Lists!$A$30:$A$36,0)),""))</f>
        <v/>
      </c>
      <c r="W2" s="0" t="n">
        <f aca="false">IF(AND(B2&lt;&gt;"",OR(F2="At cost",F2="TBC",AND(F2&lt;&gt;"If required",G2=11))),1,0)</f>
        <v>0</v>
      </c>
      <c r="X2" s="0" t="str">
        <f aca="false">IF(B2="","",IF(T2&lt;&gt;"","flag",IF(F2="","status",IF(AND(G2=0,OR(F2="Firm",F2="Estimate",AND(F2="If required",ISNUMBER(H2)))),"basis",IF(AND(OR(F2="Firm",F2="Estimate"),G2&lt;&gt;11,NOT(ISNUMBER(H2))),"rate",IF(AND(O2=0,G2=9,OR(F2="Firm",F2="Estimate"),ISNUMBER(H2)),"base",IF(OR(C2="",C2="Unclassified"),"unclass",IF(U2=1,"dup",IF(AND(Audit!$C$19="Yes",O2=1,NOT(ISNUMBER(Audit!$M$54))),"noagree","")))))))))</f>
        <v/>
      </c>
      <c r="Y2" s="0" t="n">
        <f aca="false">IF(ISNUMBER(Audit!$K$54),Audit!$K$54,0)</f>
        <v>0</v>
      </c>
      <c r="Z2" s="0" t="n">
        <f aca="false">IF(AND(F2="Firm",O2=1,ISNUMBER(J2)),L2*J2,0)</f>
        <v>0</v>
      </c>
      <c r="AE2" s="0" t="s">
        <v>134</v>
      </c>
      <c r="AF2" s="0" t="str">
        <f aca="false">IF(AF34=1,"Not started",IF(AF6=1,"Insufficient Information",IF(AF3&gt;0,"Corrections Required",IF(AF4+AF5&gt;0,"Needs Clarification","Audit Complete — No Issues Identified"))))</f>
        <v>Not started</v>
      </c>
      <c r="AH2" s="0" t="n">
        <v>1</v>
      </c>
      <c r="AI2" s="0" t="str">
        <f aca="false">IFERROR(SMALL($J$70:$J$470,AH2),"")</f>
        <v/>
      </c>
      <c r="AJ2" s="0" t="str">
        <f aca="false">IF(AI2="","",MATCH(AI2,$J$70:$J$470,0))</f>
        <v/>
      </c>
      <c r="AL2" s="0" t="n">
        <v>1</v>
      </c>
      <c r="AM2" s="0" t="str">
        <f aca="false">IFERROR(SMALL($K$70:$K$470,AL2),"")</f>
        <v/>
      </c>
      <c r="AN2" s="0" t="str">
        <f aca="false">IF(AM2="","",MATCH(AM2,$K$70:$K$470,0))</f>
        <v/>
      </c>
    </row>
    <row r="3" customFormat="false" ht="15" hidden="false" customHeight="false" outlineLevel="0" collapsed="false">
      <c r="A3" s="0" t="n">
        <v>2</v>
      </c>
      <c r="B3" s="0" t="str">
        <f aca="false">TRIM(Audit!$B$55)</f>
        <v/>
      </c>
      <c r="C3" s="0" t="str">
        <f aca="false">Audit!$C$55&amp;""</f>
        <v/>
      </c>
      <c r="D3" s="0" t="str">
        <f aca="false">IF(B3="","",IF(C3="","Other",IFERROR(INDEX(Lists!$C$4:$C$16,MATCH(C3,Lists!$A$4:$A$16,0)),"Other")))</f>
        <v/>
      </c>
      <c r="E3" s="0" t="str">
        <f aca="false">IF(B3="","",IF(C3="","Other",IFERROR(INDEX(Lists!$B$4:$B$16,MATCH(C3,Lists!$A$4:$A$16,0)),"Other")))</f>
        <v/>
      </c>
      <c r="F3" s="0" t="str">
        <f aca="false">Audit!$G$55&amp;""</f>
        <v/>
      </c>
      <c r="G3" s="0" t="n">
        <f aca="false">IFERROR(MATCH(Audit!$D$55,Lists!$E$4:$E$14,0),0)</f>
        <v>0</v>
      </c>
      <c r="H3" s="0" t="str">
        <f aca="false">IF(ISNUMBER(Audit!$E$55),Audit!$E$55,"")</f>
        <v/>
      </c>
      <c r="I3" s="0" t="n">
        <f aca="false">IF(TRIM(Audit!$F$55)="",Audit!$C$25,TRIM(Audit!$F$55))</f>
        <v>0</v>
      </c>
      <c r="J3" s="0" t="n">
        <f aca="false">IF(OR(I3=Audit!$C$25,I3=""),1,IF(AND(I3=Audit!$C$31,ISNUMBER(Audit!$J$31)),Audit!$J$31,IF(AND(I3=Audit!$C$32,ISNUMBER(Audit!$J$32)),Audit!$J$32,"")))</f>
        <v>1</v>
      </c>
      <c r="K3" s="0" t="str">
        <f aca="false">IF(B3="","",IF(ISNUMBER(Audit!$I$55),Audit!$I$55,IF(G3=0,"",CHOOSE(G3,IF(ISNUMBER(Audit!$C$26),Audit!$C$26,1),1,1,1,$AF$33,$AF$30,$AF$31,1,"",1,0))))</f>
        <v/>
      </c>
      <c r="L3" s="0" t="str">
        <f aca="false">IF(O3=1,ROUND(MAX(H3*K3,IF(ISNUMBER(Audit!$J$55),Audit!$J$55,0)),2),"")</f>
        <v/>
      </c>
      <c r="M3" s="0" t="str">
        <f aca="false">IF(O3=1,ROUND(L3*(1+Y3),2),"")</f>
        <v/>
      </c>
      <c r="N3" s="0" t="str">
        <f aca="false">IF(O3=1,IF(ISNUMBER(J3),ROUND(M3*J3,2),""),"")</f>
        <v/>
      </c>
      <c r="O3" s="0" t="n">
        <f aca="false">IF(AND(B3&lt;&gt;"",OR(F3="Firm",F3="Estimate",F3="If required"),ISNUMBER(H3),G3&gt;0,G3&lt;&gt;11,ISNUMBER(K3)),1,0)</f>
        <v>0</v>
      </c>
      <c r="P3" s="0" t="str">
        <f aca="false">IF(ISNUMBER(Audit!$L$55),Audit!$L$55,"")</f>
        <v/>
      </c>
      <c r="Q3" s="0" t="str">
        <f aca="false">IF(B3="","",IF(OR(F3="At cost",F3="TBC"),"Not priced ("&amp;F3&amp;")",IF(OR(F3="Included",F3="Excluded",F3="Not applicable"),F3,IF(F3="","Status missing",IF(AND(F3="If required",NOT(ISNUMBER(H3))),"Not priced (if required)",IF(G3=0,"Basis missing",IF(G3=11,"Not priced (at cost)",IF(NOT(ISNUMBER(H3)),"Rate missing",IF(AND(G3=9,NOT(ISNUMBER(Audit!$I$55))),"Base amount missing",IF(NOT(ISNUMBER(J3)),"Exchange rate missing",IF(NOT(ISNUMBER(P3)),"Calculated — Not Independently Verified",IF(ABS(R3)&lt;=Lists!$B$44,"Verified","Error - differs by "&amp;TEXT(R3,"#,##0.00")&amp;" "&amp;I3))))))))))))</f>
        <v/>
      </c>
      <c r="R3" s="0" t="str">
        <f aca="false">IF(AND(O3=1,ISNUMBER(P3)),IF(ABS(P3-L3)&lt;=ABS(P3-M3),P3-L3,P3-M3),"")</f>
        <v/>
      </c>
      <c r="S3" s="0" t="n">
        <f aca="false">IF(AND(O3=1,ISNUMBER(Audit!$M$55),ISNUMBER(J3)),IF(H3-Audit!$M$55&gt;0.005,ROUND((H3-Audit!$M$55)*K3*(1+Y3)*J3,2),0),0)</f>
        <v>0</v>
      </c>
      <c r="T3" s="0" t="str">
        <f aca="false">Audit!$N$55&amp;""</f>
        <v/>
      </c>
      <c r="U3" s="0" t="n">
        <f aca="false">IF(B3="",0,IF(COUNTIFS($B$2:$B$51,B3,$D$2:$D$51,D3)&gt;1,1,0))</f>
        <v>0</v>
      </c>
      <c r="V3" s="0" t="str">
        <f aca="false">IF(D3="","",IFERROR(INDEX(Audit!$C$43:$C$49,MATCH(D3,Lists!$A$30:$A$36,0)),""))</f>
        <v/>
      </c>
      <c r="W3" s="0" t="n">
        <f aca="false">IF(AND(B3&lt;&gt;"",OR(F3="At cost",F3="TBC",AND(F3&lt;&gt;"If required",G3=11))),1,0)</f>
        <v>0</v>
      </c>
      <c r="X3" s="0" t="str">
        <f aca="false">IF(B3="","",IF(T3&lt;&gt;"","flag",IF(F3="","status",IF(AND(G3=0,OR(F3="Firm",F3="Estimate",AND(F3="If required",ISNUMBER(H3)))),"basis",IF(AND(OR(F3="Firm",F3="Estimate"),G3&lt;&gt;11,NOT(ISNUMBER(H3))),"rate",IF(AND(O3=0,G3=9,OR(F3="Firm",F3="Estimate"),ISNUMBER(H3)),"base",IF(OR(C3="",C3="Unclassified"),"unclass",IF(U3=1,"dup",IF(AND(Audit!$C$19="Yes",O3=1,NOT(ISNUMBER(Audit!$M$55))),"noagree","")))))))))</f>
        <v/>
      </c>
      <c r="Y3" s="0" t="n">
        <f aca="false">IF(ISNUMBER(Audit!$K$55),Audit!$K$55,0)</f>
        <v>0</v>
      </c>
      <c r="Z3" s="0" t="n">
        <f aca="false">IF(AND(F3="Firm",O3=1,ISNUMBER(J3)),L3*J3,0)</f>
        <v>0</v>
      </c>
      <c r="AE3" s="0" t="s">
        <v>296</v>
      </c>
      <c r="AF3" s="0" t="n">
        <f aca="false">SUMIFS($B$70:$B$470,$C$70:$C$470,"Error")</f>
        <v>0</v>
      </c>
      <c r="AH3" s="0" t="n">
        <v>2</v>
      </c>
      <c r="AI3" s="0" t="str">
        <f aca="false">IFERROR(SMALL($J$70:$J$470,AH3),"")</f>
        <v/>
      </c>
      <c r="AJ3" s="0" t="str">
        <f aca="false">IF(AI3="","",MATCH(AI3,$J$70:$J$470,0))</f>
        <v/>
      </c>
      <c r="AL3" s="0" t="n">
        <v>2</v>
      </c>
      <c r="AM3" s="0" t="str">
        <f aca="false">IFERROR(SMALL($K$70:$K$470,AL3),"")</f>
        <v/>
      </c>
      <c r="AN3" s="0" t="str">
        <f aca="false">IF(AM3="","",MATCH(AM3,$K$70:$K$470,0))</f>
        <v/>
      </c>
    </row>
    <row r="4" customFormat="false" ht="15" hidden="false" customHeight="false" outlineLevel="0" collapsed="false">
      <c r="A4" s="0" t="n">
        <v>3</v>
      </c>
      <c r="B4" s="0" t="str">
        <f aca="false">TRIM(Audit!$B$56)</f>
        <v/>
      </c>
      <c r="C4" s="0" t="str">
        <f aca="false">Audit!$C$56&amp;""</f>
        <v/>
      </c>
      <c r="D4" s="0" t="str">
        <f aca="false">IF(B4="","",IF(C4="","Other",IFERROR(INDEX(Lists!$C$4:$C$16,MATCH(C4,Lists!$A$4:$A$16,0)),"Other")))</f>
        <v/>
      </c>
      <c r="E4" s="0" t="str">
        <f aca="false">IF(B4="","",IF(C4="","Other",IFERROR(INDEX(Lists!$B$4:$B$16,MATCH(C4,Lists!$A$4:$A$16,0)),"Other")))</f>
        <v/>
      </c>
      <c r="F4" s="0" t="str">
        <f aca="false">Audit!$G$56&amp;""</f>
        <v/>
      </c>
      <c r="G4" s="0" t="n">
        <f aca="false">IFERROR(MATCH(Audit!$D$56,Lists!$E$4:$E$14,0),0)</f>
        <v>0</v>
      </c>
      <c r="H4" s="0" t="str">
        <f aca="false">IF(ISNUMBER(Audit!$E$56),Audit!$E$56,"")</f>
        <v/>
      </c>
      <c r="I4" s="0" t="n">
        <f aca="false">IF(TRIM(Audit!$F$56)="",Audit!$C$25,TRIM(Audit!$F$56))</f>
        <v>0</v>
      </c>
      <c r="J4" s="0" t="n">
        <f aca="false">IF(OR(I4=Audit!$C$25,I4=""),1,IF(AND(I4=Audit!$C$31,ISNUMBER(Audit!$J$31)),Audit!$J$31,IF(AND(I4=Audit!$C$32,ISNUMBER(Audit!$J$32)),Audit!$J$32,"")))</f>
        <v>1</v>
      </c>
      <c r="K4" s="0" t="str">
        <f aca="false">IF(B4="","",IF(ISNUMBER(Audit!$I$56),Audit!$I$56,IF(G4=0,"",CHOOSE(G4,IF(ISNUMBER(Audit!$C$26),Audit!$C$26,1),1,1,1,$AF$33,$AF$30,$AF$31,1,"",1,0))))</f>
        <v/>
      </c>
      <c r="L4" s="0" t="str">
        <f aca="false">IF(O4=1,ROUND(MAX(H4*K4,IF(ISNUMBER(Audit!$J$56),Audit!$J$56,0)),2),"")</f>
        <v/>
      </c>
      <c r="M4" s="0" t="str">
        <f aca="false">IF(O4=1,ROUND(L4*(1+Y4),2),"")</f>
        <v/>
      </c>
      <c r="N4" s="0" t="str">
        <f aca="false">IF(O4=1,IF(ISNUMBER(J4),ROUND(M4*J4,2),""),"")</f>
        <v/>
      </c>
      <c r="O4" s="0" t="n">
        <f aca="false">IF(AND(B4&lt;&gt;"",OR(F4="Firm",F4="Estimate",F4="If required"),ISNUMBER(H4),G4&gt;0,G4&lt;&gt;11,ISNUMBER(K4)),1,0)</f>
        <v>0</v>
      </c>
      <c r="P4" s="0" t="str">
        <f aca="false">IF(ISNUMBER(Audit!$L$56),Audit!$L$56,"")</f>
        <v/>
      </c>
      <c r="Q4" s="0" t="str">
        <f aca="false">IF(B4="","",IF(OR(F4="At cost",F4="TBC"),"Not priced ("&amp;F4&amp;")",IF(OR(F4="Included",F4="Excluded",F4="Not applicable"),F4,IF(F4="","Status missing",IF(AND(F4="If required",NOT(ISNUMBER(H4))),"Not priced (if required)",IF(G4=0,"Basis missing",IF(G4=11,"Not priced (at cost)",IF(NOT(ISNUMBER(H4)),"Rate missing",IF(AND(G4=9,NOT(ISNUMBER(Audit!$I$56))),"Base amount missing",IF(NOT(ISNUMBER(J4)),"Exchange rate missing",IF(NOT(ISNUMBER(P4)),"Calculated — Not Independently Verified",IF(ABS(R4)&lt;=Lists!$B$44,"Verified","Error - differs by "&amp;TEXT(R4,"#,##0.00")&amp;" "&amp;I4))))))))))))</f>
        <v/>
      </c>
      <c r="R4" s="0" t="str">
        <f aca="false">IF(AND(O4=1,ISNUMBER(P4)),IF(ABS(P4-L4)&lt;=ABS(P4-M4),P4-L4,P4-M4),"")</f>
        <v/>
      </c>
      <c r="S4" s="0" t="n">
        <f aca="false">IF(AND(O4=1,ISNUMBER(Audit!$M$56),ISNUMBER(J4)),IF(H4-Audit!$M$56&gt;0.005,ROUND((H4-Audit!$M$56)*K4*(1+Y4)*J4,2),0),0)</f>
        <v>0</v>
      </c>
      <c r="T4" s="0" t="str">
        <f aca="false">Audit!$N$56&amp;""</f>
        <v/>
      </c>
      <c r="U4" s="0" t="n">
        <f aca="false">IF(B4="",0,IF(COUNTIFS($B$2:$B$51,B4,$D$2:$D$51,D4)&gt;1,1,0))</f>
        <v>0</v>
      </c>
      <c r="V4" s="0" t="str">
        <f aca="false">IF(D4="","",IFERROR(INDEX(Audit!$C$43:$C$49,MATCH(D4,Lists!$A$30:$A$36,0)),""))</f>
        <v/>
      </c>
      <c r="W4" s="0" t="n">
        <f aca="false">IF(AND(B4&lt;&gt;"",OR(F4="At cost",F4="TBC",AND(F4&lt;&gt;"If required",G4=11))),1,0)</f>
        <v>0</v>
      </c>
      <c r="X4" s="0" t="str">
        <f aca="false">IF(B4="","",IF(T4&lt;&gt;"","flag",IF(F4="","status",IF(AND(G4=0,OR(F4="Firm",F4="Estimate",AND(F4="If required",ISNUMBER(H4)))),"basis",IF(AND(OR(F4="Firm",F4="Estimate"),G4&lt;&gt;11,NOT(ISNUMBER(H4))),"rate",IF(AND(O4=0,G4=9,OR(F4="Firm",F4="Estimate"),ISNUMBER(H4)),"base",IF(OR(C4="",C4="Unclassified"),"unclass",IF(U4=1,"dup",IF(AND(Audit!$C$19="Yes",O4=1,NOT(ISNUMBER(Audit!$M$56))),"noagree","")))))))))</f>
        <v/>
      </c>
      <c r="Y4" s="0" t="n">
        <f aca="false">IF(ISNUMBER(Audit!$K$56),Audit!$K$56,0)</f>
        <v>0</v>
      </c>
      <c r="Z4" s="0" t="n">
        <f aca="false">IF(AND(F4="Firm",O4=1,ISNUMBER(J4)),L4*J4,0)</f>
        <v>0</v>
      </c>
      <c r="AE4" s="0" t="s">
        <v>297</v>
      </c>
      <c r="AF4" s="0" t="n">
        <f aca="false">SUMIFS($B$70:$B$470,$C$70:$C$470,"Question")</f>
        <v>0</v>
      </c>
      <c r="AH4" s="0" t="n">
        <v>3</v>
      </c>
      <c r="AI4" s="0" t="str">
        <f aca="false">IFERROR(SMALL($J$70:$J$470,AH4),"")</f>
        <v/>
      </c>
      <c r="AJ4" s="0" t="str">
        <f aca="false">IF(AI4="","",MATCH(AI4,$J$70:$J$470,0))</f>
        <v/>
      </c>
      <c r="AL4" s="0" t="n">
        <v>3</v>
      </c>
      <c r="AM4" s="0" t="str">
        <f aca="false">IFERROR(SMALL($K$70:$K$470,AL4),"")</f>
        <v/>
      </c>
      <c r="AN4" s="0" t="str">
        <f aca="false">IF(AM4="","",MATCH(AM4,$K$70:$K$470,0))</f>
        <v/>
      </c>
    </row>
    <row r="5" customFormat="false" ht="15" hidden="false" customHeight="false" outlineLevel="0" collapsed="false">
      <c r="A5" s="0" t="n">
        <v>4</v>
      </c>
      <c r="B5" s="0" t="str">
        <f aca="false">TRIM(Audit!$B$57)</f>
        <v/>
      </c>
      <c r="C5" s="0" t="str">
        <f aca="false">Audit!$C$57&amp;""</f>
        <v/>
      </c>
      <c r="D5" s="0" t="str">
        <f aca="false">IF(B5="","",IF(C5="","Other",IFERROR(INDEX(Lists!$C$4:$C$16,MATCH(C5,Lists!$A$4:$A$16,0)),"Other")))</f>
        <v/>
      </c>
      <c r="E5" s="0" t="str">
        <f aca="false">IF(B5="","",IF(C5="","Other",IFERROR(INDEX(Lists!$B$4:$B$16,MATCH(C5,Lists!$A$4:$A$16,0)),"Other")))</f>
        <v/>
      </c>
      <c r="F5" s="0" t="str">
        <f aca="false">Audit!$G$57&amp;""</f>
        <v/>
      </c>
      <c r="G5" s="0" t="n">
        <f aca="false">IFERROR(MATCH(Audit!$D$57,Lists!$E$4:$E$14,0),0)</f>
        <v>0</v>
      </c>
      <c r="H5" s="0" t="str">
        <f aca="false">IF(ISNUMBER(Audit!$E$57),Audit!$E$57,"")</f>
        <v/>
      </c>
      <c r="I5" s="0" t="n">
        <f aca="false">IF(TRIM(Audit!$F$57)="",Audit!$C$25,TRIM(Audit!$F$57))</f>
        <v>0</v>
      </c>
      <c r="J5" s="0" t="n">
        <f aca="false">IF(OR(I5=Audit!$C$25,I5=""),1,IF(AND(I5=Audit!$C$31,ISNUMBER(Audit!$J$31)),Audit!$J$31,IF(AND(I5=Audit!$C$32,ISNUMBER(Audit!$J$32)),Audit!$J$32,"")))</f>
        <v>1</v>
      </c>
      <c r="K5" s="0" t="str">
        <f aca="false">IF(B5="","",IF(ISNUMBER(Audit!$I$57),Audit!$I$57,IF(G5=0,"",CHOOSE(G5,IF(ISNUMBER(Audit!$C$26),Audit!$C$26,1),1,1,1,$AF$33,$AF$30,$AF$31,1,"",1,0))))</f>
        <v/>
      </c>
      <c r="L5" s="0" t="str">
        <f aca="false">IF(O5=1,ROUND(MAX(H5*K5,IF(ISNUMBER(Audit!$J$57),Audit!$J$57,0)),2),"")</f>
        <v/>
      </c>
      <c r="M5" s="0" t="str">
        <f aca="false">IF(O5=1,ROUND(L5*(1+Y5),2),"")</f>
        <v/>
      </c>
      <c r="N5" s="0" t="str">
        <f aca="false">IF(O5=1,IF(ISNUMBER(J5),ROUND(M5*J5,2),""),"")</f>
        <v/>
      </c>
      <c r="O5" s="0" t="n">
        <f aca="false">IF(AND(B5&lt;&gt;"",OR(F5="Firm",F5="Estimate",F5="If required"),ISNUMBER(H5),G5&gt;0,G5&lt;&gt;11,ISNUMBER(K5)),1,0)</f>
        <v>0</v>
      </c>
      <c r="P5" s="0" t="str">
        <f aca="false">IF(ISNUMBER(Audit!$L$57),Audit!$L$57,"")</f>
        <v/>
      </c>
      <c r="Q5" s="0" t="str">
        <f aca="false">IF(B5="","",IF(OR(F5="At cost",F5="TBC"),"Not priced ("&amp;F5&amp;")",IF(OR(F5="Included",F5="Excluded",F5="Not applicable"),F5,IF(F5="","Status missing",IF(AND(F5="If required",NOT(ISNUMBER(H5))),"Not priced (if required)",IF(G5=0,"Basis missing",IF(G5=11,"Not priced (at cost)",IF(NOT(ISNUMBER(H5)),"Rate missing",IF(AND(G5=9,NOT(ISNUMBER(Audit!$I$57))),"Base amount missing",IF(NOT(ISNUMBER(J5)),"Exchange rate missing",IF(NOT(ISNUMBER(P5)),"Calculated — Not Independently Verified",IF(ABS(R5)&lt;=Lists!$B$44,"Verified","Error - differs by "&amp;TEXT(R5,"#,##0.00")&amp;" "&amp;I5))))))))))))</f>
        <v/>
      </c>
      <c r="R5" s="0" t="str">
        <f aca="false">IF(AND(O5=1,ISNUMBER(P5)),IF(ABS(P5-L5)&lt;=ABS(P5-M5),P5-L5,P5-M5),"")</f>
        <v/>
      </c>
      <c r="S5" s="0" t="n">
        <f aca="false">IF(AND(O5=1,ISNUMBER(Audit!$M$57),ISNUMBER(J5)),IF(H5-Audit!$M$57&gt;0.005,ROUND((H5-Audit!$M$57)*K5*(1+Y5)*J5,2),0),0)</f>
        <v>0</v>
      </c>
      <c r="T5" s="0" t="str">
        <f aca="false">Audit!$N$57&amp;""</f>
        <v/>
      </c>
      <c r="U5" s="0" t="n">
        <f aca="false">IF(B5="",0,IF(COUNTIFS($B$2:$B$51,B5,$D$2:$D$51,D5)&gt;1,1,0))</f>
        <v>0</v>
      </c>
      <c r="V5" s="0" t="str">
        <f aca="false">IF(D5="","",IFERROR(INDEX(Audit!$C$43:$C$49,MATCH(D5,Lists!$A$30:$A$36,0)),""))</f>
        <v/>
      </c>
      <c r="W5" s="0" t="n">
        <f aca="false">IF(AND(B5&lt;&gt;"",OR(F5="At cost",F5="TBC",AND(F5&lt;&gt;"If required",G5=11))),1,0)</f>
        <v>0</v>
      </c>
      <c r="X5" s="0" t="str">
        <f aca="false">IF(B5="","",IF(T5&lt;&gt;"","flag",IF(F5="","status",IF(AND(G5=0,OR(F5="Firm",F5="Estimate",AND(F5="If required",ISNUMBER(H5)))),"basis",IF(AND(OR(F5="Firm",F5="Estimate"),G5&lt;&gt;11,NOT(ISNUMBER(H5))),"rate",IF(AND(O5=0,G5=9,OR(F5="Firm",F5="Estimate"),ISNUMBER(H5)),"base",IF(OR(C5="",C5="Unclassified"),"unclass",IF(U5=1,"dup",IF(AND(Audit!$C$19="Yes",O5=1,NOT(ISNUMBER(Audit!$M$57))),"noagree","")))))))))</f>
        <v/>
      </c>
      <c r="Y5" s="0" t="n">
        <f aca="false">IF(ISNUMBER(Audit!$K$57),Audit!$K$57,0)</f>
        <v>0</v>
      </c>
      <c r="Z5" s="0" t="n">
        <f aca="false">IF(AND(F5="Firm",O5=1,ISNUMBER(J5)),L5*J5,0)</f>
        <v>0</v>
      </c>
      <c r="AE5" s="0" t="s">
        <v>298</v>
      </c>
      <c r="AF5" s="0" t="n">
        <f aca="false">SUMIFS($B$70:$B$470,$C$70:$C$470,"Risk")</f>
        <v>0</v>
      </c>
      <c r="AH5" s="0" t="n">
        <v>4</v>
      </c>
      <c r="AI5" s="0" t="str">
        <f aca="false">IFERROR(SMALL($J$70:$J$470,AH5),"")</f>
        <v/>
      </c>
      <c r="AJ5" s="0" t="str">
        <f aca="false">IF(AI5="","",MATCH(AI5,$J$70:$J$470,0))</f>
        <v/>
      </c>
      <c r="AL5" s="0" t="n">
        <v>4</v>
      </c>
      <c r="AM5" s="0" t="str">
        <f aca="false">IFERROR(SMALL($K$70:$K$470,AL5),"")</f>
        <v/>
      </c>
      <c r="AN5" s="0" t="str">
        <f aca="false">IF(AM5="","",MATCH(AM5,$K$70:$K$470,0))</f>
        <v/>
      </c>
    </row>
    <row r="6" customFormat="false" ht="15" hidden="false" customHeight="false" outlineLevel="0" collapsed="false">
      <c r="A6" s="0" t="n">
        <v>5</v>
      </c>
      <c r="B6" s="0" t="str">
        <f aca="false">TRIM(Audit!$B$58)</f>
        <v/>
      </c>
      <c r="C6" s="0" t="str">
        <f aca="false">Audit!$C$58&amp;""</f>
        <v/>
      </c>
      <c r="D6" s="0" t="str">
        <f aca="false">IF(B6="","",IF(C6="","Other",IFERROR(INDEX(Lists!$C$4:$C$16,MATCH(C6,Lists!$A$4:$A$16,0)),"Other")))</f>
        <v/>
      </c>
      <c r="E6" s="0" t="str">
        <f aca="false">IF(B6="","",IF(C6="","Other",IFERROR(INDEX(Lists!$B$4:$B$16,MATCH(C6,Lists!$A$4:$A$16,0)),"Other")))</f>
        <v/>
      </c>
      <c r="F6" s="0" t="str">
        <f aca="false">Audit!$G$58&amp;""</f>
        <v/>
      </c>
      <c r="G6" s="0" t="n">
        <f aca="false">IFERROR(MATCH(Audit!$D$58,Lists!$E$4:$E$14,0),0)</f>
        <v>0</v>
      </c>
      <c r="H6" s="0" t="str">
        <f aca="false">IF(ISNUMBER(Audit!$E$58),Audit!$E$58,"")</f>
        <v/>
      </c>
      <c r="I6" s="0" t="n">
        <f aca="false">IF(TRIM(Audit!$F$58)="",Audit!$C$25,TRIM(Audit!$F$58))</f>
        <v>0</v>
      </c>
      <c r="J6" s="0" t="n">
        <f aca="false">IF(OR(I6=Audit!$C$25,I6=""),1,IF(AND(I6=Audit!$C$31,ISNUMBER(Audit!$J$31)),Audit!$J$31,IF(AND(I6=Audit!$C$32,ISNUMBER(Audit!$J$32)),Audit!$J$32,"")))</f>
        <v>1</v>
      </c>
      <c r="K6" s="0" t="str">
        <f aca="false">IF(B6="","",IF(ISNUMBER(Audit!$I$58),Audit!$I$58,IF(G6=0,"",CHOOSE(G6,IF(ISNUMBER(Audit!$C$26),Audit!$C$26,1),1,1,1,$AF$33,$AF$30,$AF$31,1,"",1,0))))</f>
        <v/>
      </c>
      <c r="L6" s="0" t="str">
        <f aca="false">IF(O6=1,ROUND(MAX(H6*K6,IF(ISNUMBER(Audit!$J$58),Audit!$J$58,0)),2),"")</f>
        <v/>
      </c>
      <c r="M6" s="0" t="str">
        <f aca="false">IF(O6=1,ROUND(L6*(1+Y6),2),"")</f>
        <v/>
      </c>
      <c r="N6" s="0" t="str">
        <f aca="false">IF(O6=1,IF(ISNUMBER(J6),ROUND(M6*J6,2),""),"")</f>
        <v/>
      </c>
      <c r="O6" s="0" t="n">
        <f aca="false">IF(AND(B6&lt;&gt;"",OR(F6="Firm",F6="Estimate",F6="If required"),ISNUMBER(H6),G6&gt;0,G6&lt;&gt;11,ISNUMBER(K6)),1,0)</f>
        <v>0</v>
      </c>
      <c r="P6" s="0" t="str">
        <f aca="false">IF(ISNUMBER(Audit!$L$58),Audit!$L$58,"")</f>
        <v/>
      </c>
      <c r="Q6" s="0" t="str">
        <f aca="false">IF(B6="","",IF(OR(F6="At cost",F6="TBC"),"Not priced ("&amp;F6&amp;")",IF(OR(F6="Included",F6="Excluded",F6="Not applicable"),F6,IF(F6="","Status missing",IF(AND(F6="If required",NOT(ISNUMBER(H6))),"Not priced (if required)",IF(G6=0,"Basis missing",IF(G6=11,"Not priced (at cost)",IF(NOT(ISNUMBER(H6)),"Rate missing",IF(AND(G6=9,NOT(ISNUMBER(Audit!$I$58))),"Base amount missing",IF(NOT(ISNUMBER(J6)),"Exchange rate missing",IF(NOT(ISNUMBER(P6)),"Calculated — Not Independently Verified",IF(ABS(R6)&lt;=Lists!$B$44,"Verified","Error - differs by "&amp;TEXT(R6,"#,##0.00")&amp;" "&amp;I6))))))))))))</f>
        <v/>
      </c>
      <c r="R6" s="0" t="str">
        <f aca="false">IF(AND(O6=1,ISNUMBER(P6)),IF(ABS(P6-L6)&lt;=ABS(P6-M6),P6-L6,P6-M6),"")</f>
        <v/>
      </c>
      <c r="S6" s="0" t="n">
        <f aca="false">IF(AND(O6=1,ISNUMBER(Audit!$M$58),ISNUMBER(J6)),IF(H6-Audit!$M$58&gt;0.005,ROUND((H6-Audit!$M$58)*K6*(1+Y6)*J6,2),0),0)</f>
        <v>0</v>
      </c>
      <c r="T6" s="0" t="str">
        <f aca="false">Audit!$N$58&amp;""</f>
        <v/>
      </c>
      <c r="U6" s="0" t="n">
        <f aca="false">IF(B6="",0,IF(COUNTIFS($B$2:$B$51,B6,$D$2:$D$51,D6)&gt;1,1,0))</f>
        <v>0</v>
      </c>
      <c r="V6" s="0" t="str">
        <f aca="false">IF(D6="","",IFERROR(INDEX(Audit!$C$43:$C$49,MATCH(D6,Lists!$A$30:$A$36,0)),""))</f>
        <v/>
      </c>
      <c r="W6" s="0" t="n">
        <f aca="false">IF(AND(B6&lt;&gt;"",OR(F6="At cost",F6="TBC",AND(F6&lt;&gt;"If required",G6=11))),1,0)</f>
        <v>0</v>
      </c>
      <c r="X6" s="0" t="str">
        <f aca="false">IF(B6="","",IF(T6&lt;&gt;"","flag",IF(F6="","status",IF(AND(G6=0,OR(F6="Firm",F6="Estimate",AND(F6="If required",ISNUMBER(H6)))),"basis",IF(AND(OR(F6="Firm",F6="Estimate"),G6&lt;&gt;11,NOT(ISNUMBER(H6))),"rate",IF(AND(O6=0,G6=9,OR(F6="Firm",F6="Estimate"),ISNUMBER(H6)),"base",IF(OR(C6="",C6="Unclassified"),"unclass",IF(U6=1,"dup",IF(AND(Audit!$C$19="Yes",O6=1,NOT(ISNUMBER(Audit!$M$58))),"noagree","")))))))))</f>
        <v/>
      </c>
      <c r="Y6" s="0" t="n">
        <f aca="false">IF(ISNUMBER(Audit!$K$58),Audit!$K$58,0)</f>
        <v>0</v>
      </c>
      <c r="Z6" s="0" t="n">
        <f aca="false">IF(AND(F6="Firm",O6=1,ISNUMBER(J6)),L6*J6,0)</f>
        <v>0</v>
      </c>
      <c r="AE6" s="0" t="s">
        <v>299</v>
      </c>
      <c r="AF6" s="0" t="n">
        <f aca="false">IF(OR(Audit!$C$18="No",Audit!$J$18="No",Audit!$J$19="No",AND(AF7&gt;0,AF8=0)),1,0)</f>
        <v>0</v>
      </c>
      <c r="AH6" s="0" t="n">
        <v>5</v>
      </c>
      <c r="AI6" s="0" t="str">
        <f aca="false">IFERROR(SMALL($J$70:$J$470,AH6),"")</f>
        <v/>
      </c>
      <c r="AJ6" s="0" t="str">
        <f aca="false">IF(AI6="","",MATCH(AI6,$J$70:$J$470,0))</f>
        <v/>
      </c>
      <c r="AL6" s="0" t="n">
        <v>5</v>
      </c>
      <c r="AM6" s="0" t="str">
        <f aca="false">IFERROR(SMALL($K$70:$K$470,AL6),"")</f>
        <v/>
      </c>
      <c r="AN6" s="0" t="str">
        <f aca="false">IF(AM6="","",MATCH(AM6,$K$70:$K$470,0))</f>
        <v/>
      </c>
    </row>
    <row r="7" customFormat="false" ht="15" hidden="false" customHeight="false" outlineLevel="0" collapsed="false">
      <c r="A7" s="0" t="n">
        <v>6</v>
      </c>
      <c r="B7" s="0" t="str">
        <f aca="false">TRIM(Audit!$B$59)</f>
        <v/>
      </c>
      <c r="C7" s="0" t="str">
        <f aca="false">Audit!$C$59&amp;""</f>
        <v/>
      </c>
      <c r="D7" s="0" t="str">
        <f aca="false">IF(B7="","",IF(C7="","Other",IFERROR(INDEX(Lists!$C$4:$C$16,MATCH(C7,Lists!$A$4:$A$16,0)),"Other")))</f>
        <v/>
      </c>
      <c r="E7" s="0" t="str">
        <f aca="false">IF(B7="","",IF(C7="","Other",IFERROR(INDEX(Lists!$B$4:$B$16,MATCH(C7,Lists!$A$4:$A$16,0)),"Other")))</f>
        <v/>
      </c>
      <c r="F7" s="0" t="str">
        <f aca="false">Audit!$G$59&amp;""</f>
        <v/>
      </c>
      <c r="G7" s="0" t="n">
        <f aca="false">IFERROR(MATCH(Audit!$D$59,Lists!$E$4:$E$14,0),0)</f>
        <v>0</v>
      </c>
      <c r="H7" s="0" t="str">
        <f aca="false">IF(ISNUMBER(Audit!$E$59),Audit!$E$59,"")</f>
        <v/>
      </c>
      <c r="I7" s="0" t="n">
        <f aca="false">IF(TRIM(Audit!$F$59)="",Audit!$C$25,TRIM(Audit!$F$59))</f>
        <v>0</v>
      </c>
      <c r="J7" s="0" t="n">
        <f aca="false">IF(OR(I7=Audit!$C$25,I7=""),1,IF(AND(I7=Audit!$C$31,ISNUMBER(Audit!$J$31)),Audit!$J$31,IF(AND(I7=Audit!$C$32,ISNUMBER(Audit!$J$32)),Audit!$J$32,"")))</f>
        <v>1</v>
      </c>
      <c r="K7" s="0" t="str">
        <f aca="false">IF(B7="","",IF(ISNUMBER(Audit!$I$59),Audit!$I$59,IF(G7=0,"",CHOOSE(G7,IF(ISNUMBER(Audit!$C$26),Audit!$C$26,1),1,1,1,$AF$33,$AF$30,$AF$31,1,"",1,0))))</f>
        <v/>
      </c>
      <c r="L7" s="0" t="str">
        <f aca="false">IF(O7=1,ROUND(MAX(H7*K7,IF(ISNUMBER(Audit!$J$59),Audit!$J$59,0)),2),"")</f>
        <v/>
      </c>
      <c r="M7" s="0" t="str">
        <f aca="false">IF(O7=1,ROUND(L7*(1+Y7),2),"")</f>
        <v/>
      </c>
      <c r="N7" s="0" t="str">
        <f aca="false">IF(O7=1,IF(ISNUMBER(J7),ROUND(M7*J7,2),""),"")</f>
        <v/>
      </c>
      <c r="O7" s="0" t="n">
        <f aca="false">IF(AND(B7&lt;&gt;"",OR(F7="Firm",F7="Estimate",F7="If required"),ISNUMBER(H7),G7&gt;0,G7&lt;&gt;11,ISNUMBER(K7)),1,0)</f>
        <v>0</v>
      </c>
      <c r="P7" s="0" t="str">
        <f aca="false">IF(ISNUMBER(Audit!$L$59),Audit!$L$59,"")</f>
        <v/>
      </c>
      <c r="Q7" s="0" t="str">
        <f aca="false">IF(B7="","",IF(OR(F7="At cost",F7="TBC"),"Not priced ("&amp;F7&amp;")",IF(OR(F7="Included",F7="Excluded",F7="Not applicable"),F7,IF(F7="","Status missing",IF(AND(F7="If required",NOT(ISNUMBER(H7))),"Not priced (if required)",IF(G7=0,"Basis missing",IF(G7=11,"Not priced (at cost)",IF(NOT(ISNUMBER(H7)),"Rate missing",IF(AND(G7=9,NOT(ISNUMBER(Audit!$I$59))),"Base amount missing",IF(NOT(ISNUMBER(J7)),"Exchange rate missing",IF(NOT(ISNUMBER(P7)),"Calculated — Not Independently Verified",IF(ABS(R7)&lt;=Lists!$B$44,"Verified","Error - differs by "&amp;TEXT(R7,"#,##0.00")&amp;" "&amp;I7))))))))))))</f>
        <v/>
      </c>
      <c r="R7" s="0" t="str">
        <f aca="false">IF(AND(O7=1,ISNUMBER(P7)),IF(ABS(P7-L7)&lt;=ABS(P7-M7),P7-L7,P7-M7),"")</f>
        <v/>
      </c>
      <c r="S7" s="0" t="n">
        <f aca="false">IF(AND(O7=1,ISNUMBER(Audit!$M$59),ISNUMBER(J7)),IF(H7-Audit!$M$59&gt;0.005,ROUND((H7-Audit!$M$59)*K7*(1+Y7)*J7,2),0),0)</f>
        <v>0</v>
      </c>
      <c r="T7" s="0" t="str">
        <f aca="false">Audit!$N$59&amp;""</f>
        <v/>
      </c>
      <c r="U7" s="0" t="n">
        <f aca="false">IF(B7="",0,IF(COUNTIFS($B$2:$B$51,B7,$D$2:$D$51,D7)&gt;1,1,0))</f>
        <v>0</v>
      </c>
      <c r="V7" s="0" t="str">
        <f aca="false">IF(D7="","",IFERROR(INDEX(Audit!$C$43:$C$49,MATCH(D7,Lists!$A$30:$A$36,0)),""))</f>
        <v/>
      </c>
      <c r="W7" s="0" t="n">
        <f aca="false">IF(AND(B7&lt;&gt;"",OR(F7="At cost",F7="TBC",AND(F7&lt;&gt;"If required",G7=11))),1,0)</f>
        <v>0</v>
      </c>
      <c r="X7" s="0" t="str">
        <f aca="false">IF(B7="","",IF(T7&lt;&gt;"","flag",IF(F7="","status",IF(AND(G7=0,OR(F7="Firm",F7="Estimate",AND(F7="If required",ISNUMBER(H7)))),"basis",IF(AND(OR(F7="Firm",F7="Estimate"),G7&lt;&gt;11,NOT(ISNUMBER(H7))),"rate",IF(AND(O7=0,G7=9,OR(F7="Firm",F7="Estimate"),ISNUMBER(H7)),"base",IF(OR(C7="",C7="Unclassified"),"unclass",IF(U7=1,"dup",IF(AND(Audit!$C$19="Yes",O7=1,NOT(ISNUMBER(Audit!$M$59))),"noagree","")))))))))</f>
        <v/>
      </c>
      <c r="Y7" s="0" t="n">
        <f aca="false">IF(ISNUMBER(Audit!$K$59),Audit!$K$59,0)</f>
        <v>0</v>
      </c>
      <c r="Z7" s="0" t="n">
        <f aca="false">IF(AND(F7="Firm",O7=1,ISNUMBER(J7)),L7*J7,0)</f>
        <v>0</v>
      </c>
      <c r="AE7" s="0" t="s">
        <v>300</v>
      </c>
      <c r="AF7" s="0" t="n">
        <f aca="false">COUNTIF($B$2:$B$51,"?*")</f>
        <v>0</v>
      </c>
      <c r="AH7" s="0" t="n">
        <v>6</v>
      </c>
      <c r="AI7" s="0" t="str">
        <f aca="false">IFERROR(SMALL($J$70:$J$470,AH7),"")</f>
        <v/>
      </c>
      <c r="AJ7" s="0" t="str">
        <f aca="false">IF(AI7="","",MATCH(AI7,$J$70:$J$470,0))</f>
        <v/>
      </c>
      <c r="AL7" s="0" t="n">
        <v>6</v>
      </c>
      <c r="AM7" s="0" t="str">
        <f aca="false">IFERROR(SMALL($K$70:$K$470,AL7),"")</f>
        <v/>
      </c>
      <c r="AN7" s="0" t="str">
        <f aca="false">IF(AM7="","",MATCH(AM7,$K$70:$K$470,0))</f>
        <v/>
      </c>
    </row>
    <row r="8" customFormat="false" ht="15" hidden="false" customHeight="false" outlineLevel="0" collapsed="false">
      <c r="A8" s="0" t="n">
        <v>7</v>
      </c>
      <c r="B8" s="0" t="str">
        <f aca="false">TRIM(Audit!$B$60)</f>
        <v/>
      </c>
      <c r="C8" s="0" t="str">
        <f aca="false">Audit!$C$60&amp;""</f>
        <v/>
      </c>
      <c r="D8" s="0" t="str">
        <f aca="false">IF(B8="","",IF(C8="","Other",IFERROR(INDEX(Lists!$C$4:$C$16,MATCH(C8,Lists!$A$4:$A$16,0)),"Other")))</f>
        <v/>
      </c>
      <c r="E8" s="0" t="str">
        <f aca="false">IF(B8="","",IF(C8="","Other",IFERROR(INDEX(Lists!$B$4:$B$16,MATCH(C8,Lists!$A$4:$A$16,0)),"Other")))</f>
        <v/>
      </c>
      <c r="F8" s="0" t="str">
        <f aca="false">Audit!$G$60&amp;""</f>
        <v/>
      </c>
      <c r="G8" s="0" t="n">
        <f aca="false">IFERROR(MATCH(Audit!$D$60,Lists!$E$4:$E$14,0),0)</f>
        <v>0</v>
      </c>
      <c r="H8" s="0" t="str">
        <f aca="false">IF(ISNUMBER(Audit!$E$60),Audit!$E$60,"")</f>
        <v/>
      </c>
      <c r="I8" s="0" t="n">
        <f aca="false">IF(TRIM(Audit!$F$60)="",Audit!$C$25,TRIM(Audit!$F$60))</f>
        <v>0</v>
      </c>
      <c r="J8" s="0" t="n">
        <f aca="false">IF(OR(I8=Audit!$C$25,I8=""),1,IF(AND(I8=Audit!$C$31,ISNUMBER(Audit!$J$31)),Audit!$J$31,IF(AND(I8=Audit!$C$32,ISNUMBER(Audit!$J$32)),Audit!$J$32,"")))</f>
        <v>1</v>
      </c>
      <c r="K8" s="0" t="str">
        <f aca="false">IF(B8="","",IF(ISNUMBER(Audit!$I$60),Audit!$I$60,IF(G8=0,"",CHOOSE(G8,IF(ISNUMBER(Audit!$C$26),Audit!$C$26,1),1,1,1,$AF$33,$AF$30,$AF$31,1,"",1,0))))</f>
        <v/>
      </c>
      <c r="L8" s="0" t="str">
        <f aca="false">IF(O8=1,ROUND(MAX(H8*K8,IF(ISNUMBER(Audit!$J$60),Audit!$J$60,0)),2),"")</f>
        <v/>
      </c>
      <c r="M8" s="0" t="str">
        <f aca="false">IF(O8=1,ROUND(L8*(1+Y8),2),"")</f>
        <v/>
      </c>
      <c r="N8" s="0" t="str">
        <f aca="false">IF(O8=1,IF(ISNUMBER(J8),ROUND(M8*J8,2),""),"")</f>
        <v/>
      </c>
      <c r="O8" s="0" t="n">
        <f aca="false">IF(AND(B8&lt;&gt;"",OR(F8="Firm",F8="Estimate",F8="If required"),ISNUMBER(H8),G8&gt;0,G8&lt;&gt;11,ISNUMBER(K8)),1,0)</f>
        <v>0</v>
      </c>
      <c r="P8" s="0" t="str">
        <f aca="false">IF(ISNUMBER(Audit!$L$60),Audit!$L$60,"")</f>
        <v/>
      </c>
      <c r="Q8" s="0" t="str">
        <f aca="false">IF(B8="","",IF(OR(F8="At cost",F8="TBC"),"Not priced ("&amp;F8&amp;")",IF(OR(F8="Included",F8="Excluded",F8="Not applicable"),F8,IF(F8="","Status missing",IF(AND(F8="If required",NOT(ISNUMBER(H8))),"Not priced (if required)",IF(G8=0,"Basis missing",IF(G8=11,"Not priced (at cost)",IF(NOT(ISNUMBER(H8)),"Rate missing",IF(AND(G8=9,NOT(ISNUMBER(Audit!$I$60))),"Base amount missing",IF(NOT(ISNUMBER(J8)),"Exchange rate missing",IF(NOT(ISNUMBER(P8)),"Calculated — Not Independently Verified",IF(ABS(R8)&lt;=Lists!$B$44,"Verified","Error - differs by "&amp;TEXT(R8,"#,##0.00")&amp;" "&amp;I8))))))))))))</f>
        <v/>
      </c>
      <c r="R8" s="0" t="str">
        <f aca="false">IF(AND(O8=1,ISNUMBER(P8)),IF(ABS(P8-L8)&lt;=ABS(P8-M8),P8-L8,P8-M8),"")</f>
        <v/>
      </c>
      <c r="S8" s="0" t="n">
        <f aca="false">IF(AND(O8=1,ISNUMBER(Audit!$M$60),ISNUMBER(J8)),IF(H8-Audit!$M$60&gt;0.005,ROUND((H8-Audit!$M$60)*K8*(1+Y8)*J8,2),0),0)</f>
        <v>0</v>
      </c>
      <c r="T8" s="0" t="str">
        <f aca="false">Audit!$N$60&amp;""</f>
        <v/>
      </c>
      <c r="U8" s="0" t="n">
        <f aca="false">IF(B8="",0,IF(COUNTIFS($B$2:$B$51,B8,$D$2:$D$51,D8)&gt;1,1,0))</f>
        <v>0</v>
      </c>
      <c r="V8" s="0" t="str">
        <f aca="false">IF(D8="","",IFERROR(INDEX(Audit!$C$43:$C$49,MATCH(D8,Lists!$A$30:$A$36,0)),""))</f>
        <v/>
      </c>
      <c r="W8" s="0" t="n">
        <f aca="false">IF(AND(B8&lt;&gt;"",OR(F8="At cost",F8="TBC",AND(F8&lt;&gt;"If required",G8=11))),1,0)</f>
        <v>0</v>
      </c>
      <c r="X8" s="0" t="str">
        <f aca="false">IF(B8="","",IF(T8&lt;&gt;"","flag",IF(F8="","status",IF(AND(G8=0,OR(F8="Firm",F8="Estimate",AND(F8="If required",ISNUMBER(H8)))),"basis",IF(AND(OR(F8="Firm",F8="Estimate"),G8&lt;&gt;11,NOT(ISNUMBER(H8))),"rate",IF(AND(O8=0,G8=9,OR(F8="Firm",F8="Estimate"),ISNUMBER(H8)),"base",IF(OR(C8="",C8="Unclassified"),"unclass",IF(U8=1,"dup",IF(AND(Audit!$C$19="Yes",O8=1,NOT(ISNUMBER(Audit!$M$60))),"noagree","")))))))))</f>
        <v/>
      </c>
      <c r="Y8" s="0" t="n">
        <f aca="false">IF(ISNUMBER(Audit!$K$60),Audit!$K$60,0)</f>
        <v>0</v>
      </c>
      <c r="Z8" s="0" t="n">
        <f aca="false">IF(AND(F8="Firm",O8=1,ISNUMBER(J8)),L8*J8,0)</f>
        <v>0</v>
      </c>
      <c r="AE8" s="0" t="s">
        <v>301</v>
      </c>
      <c r="AF8" s="0" t="n">
        <f aca="false">SUM($O$2:$O$51)</f>
        <v>0</v>
      </c>
      <c r="AH8" s="0" t="n">
        <v>7</v>
      </c>
      <c r="AI8" s="0" t="str">
        <f aca="false">IFERROR(SMALL($J$70:$J$470,AH8),"")</f>
        <v/>
      </c>
      <c r="AJ8" s="0" t="str">
        <f aca="false">IF(AI8="","",MATCH(AI8,$J$70:$J$470,0))</f>
        <v/>
      </c>
      <c r="AL8" s="0" t="n">
        <v>7</v>
      </c>
      <c r="AM8" s="0" t="str">
        <f aca="false">IFERROR(SMALL($K$70:$K$470,AL8),"")</f>
        <v/>
      </c>
      <c r="AN8" s="0" t="str">
        <f aca="false">IF(AM8="","",MATCH(AM8,$K$70:$K$470,0))</f>
        <v/>
      </c>
    </row>
    <row r="9" customFormat="false" ht="15" hidden="false" customHeight="false" outlineLevel="0" collapsed="false">
      <c r="A9" s="0" t="n">
        <v>8</v>
      </c>
      <c r="B9" s="0" t="str">
        <f aca="false">TRIM(Audit!$B$61)</f>
        <v/>
      </c>
      <c r="C9" s="0" t="str">
        <f aca="false">Audit!$C$61&amp;""</f>
        <v/>
      </c>
      <c r="D9" s="0" t="str">
        <f aca="false">IF(B9="","",IF(C9="","Other",IFERROR(INDEX(Lists!$C$4:$C$16,MATCH(C9,Lists!$A$4:$A$16,0)),"Other")))</f>
        <v/>
      </c>
      <c r="E9" s="0" t="str">
        <f aca="false">IF(B9="","",IF(C9="","Other",IFERROR(INDEX(Lists!$B$4:$B$16,MATCH(C9,Lists!$A$4:$A$16,0)),"Other")))</f>
        <v/>
      </c>
      <c r="F9" s="0" t="str">
        <f aca="false">Audit!$G$61&amp;""</f>
        <v/>
      </c>
      <c r="G9" s="0" t="n">
        <f aca="false">IFERROR(MATCH(Audit!$D$61,Lists!$E$4:$E$14,0),0)</f>
        <v>0</v>
      </c>
      <c r="H9" s="0" t="str">
        <f aca="false">IF(ISNUMBER(Audit!$E$61),Audit!$E$61,"")</f>
        <v/>
      </c>
      <c r="I9" s="0" t="n">
        <f aca="false">IF(TRIM(Audit!$F$61)="",Audit!$C$25,TRIM(Audit!$F$61))</f>
        <v>0</v>
      </c>
      <c r="J9" s="0" t="n">
        <f aca="false">IF(OR(I9=Audit!$C$25,I9=""),1,IF(AND(I9=Audit!$C$31,ISNUMBER(Audit!$J$31)),Audit!$J$31,IF(AND(I9=Audit!$C$32,ISNUMBER(Audit!$J$32)),Audit!$J$32,"")))</f>
        <v>1</v>
      </c>
      <c r="K9" s="0" t="str">
        <f aca="false">IF(B9="","",IF(ISNUMBER(Audit!$I$61),Audit!$I$61,IF(G9=0,"",CHOOSE(G9,IF(ISNUMBER(Audit!$C$26),Audit!$C$26,1),1,1,1,$AF$33,$AF$30,$AF$31,1,"",1,0))))</f>
        <v/>
      </c>
      <c r="L9" s="0" t="str">
        <f aca="false">IF(O9=1,ROUND(MAX(H9*K9,IF(ISNUMBER(Audit!$J$61),Audit!$J$61,0)),2),"")</f>
        <v/>
      </c>
      <c r="M9" s="0" t="str">
        <f aca="false">IF(O9=1,ROUND(L9*(1+Y9),2),"")</f>
        <v/>
      </c>
      <c r="N9" s="0" t="str">
        <f aca="false">IF(O9=1,IF(ISNUMBER(J9),ROUND(M9*J9,2),""),"")</f>
        <v/>
      </c>
      <c r="O9" s="0" t="n">
        <f aca="false">IF(AND(B9&lt;&gt;"",OR(F9="Firm",F9="Estimate",F9="If required"),ISNUMBER(H9),G9&gt;0,G9&lt;&gt;11,ISNUMBER(K9)),1,0)</f>
        <v>0</v>
      </c>
      <c r="P9" s="0" t="str">
        <f aca="false">IF(ISNUMBER(Audit!$L$61),Audit!$L$61,"")</f>
        <v/>
      </c>
      <c r="Q9" s="0" t="str">
        <f aca="false">IF(B9="","",IF(OR(F9="At cost",F9="TBC"),"Not priced ("&amp;F9&amp;")",IF(OR(F9="Included",F9="Excluded",F9="Not applicable"),F9,IF(F9="","Status missing",IF(AND(F9="If required",NOT(ISNUMBER(H9))),"Not priced (if required)",IF(G9=0,"Basis missing",IF(G9=11,"Not priced (at cost)",IF(NOT(ISNUMBER(H9)),"Rate missing",IF(AND(G9=9,NOT(ISNUMBER(Audit!$I$61))),"Base amount missing",IF(NOT(ISNUMBER(J9)),"Exchange rate missing",IF(NOT(ISNUMBER(P9)),"Calculated — Not Independently Verified",IF(ABS(R9)&lt;=Lists!$B$44,"Verified","Error - differs by "&amp;TEXT(R9,"#,##0.00")&amp;" "&amp;I9))))))))))))</f>
        <v/>
      </c>
      <c r="R9" s="0" t="str">
        <f aca="false">IF(AND(O9=1,ISNUMBER(P9)),IF(ABS(P9-L9)&lt;=ABS(P9-M9),P9-L9,P9-M9),"")</f>
        <v/>
      </c>
      <c r="S9" s="0" t="n">
        <f aca="false">IF(AND(O9=1,ISNUMBER(Audit!$M$61),ISNUMBER(J9)),IF(H9-Audit!$M$61&gt;0.005,ROUND((H9-Audit!$M$61)*K9*(1+Y9)*J9,2),0),0)</f>
        <v>0</v>
      </c>
      <c r="T9" s="0" t="str">
        <f aca="false">Audit!$N$61&amp;""</f>
        <v/>
      </c>
      <c r="U9" s="0" t="n">
        <f aca="false">IF(B9="",0,IF(COUNTIFS($B$2:$B$51,B9,$D$2:$D$51,D9)&gt;1,1,0))</f>
        <v>0</v>
      </c>
      <c r="V9" s="0" t="str">
        <f aca="false">IF(D9="","",IFERROR(INDEX(Audit!$C$43:$C$49,MATCH(D9,Lists!$A$30:$A$36,0)),""))</f>
        <v/>
      </c>
      <c r="W9" s="0" t="n">
        <f aca="false">IF(AND(B9&lt;&gt;"",OR(F9="At cost",F9="TBC",AND(F9&lt;&gt;"If required",G9=11))),1,0)</f>
        <v>0</v>
      </c>
      <c r="X9" s="0" t="str">
        <f aca="false">IF(B9="","",IF(T9&lt;&gt;"","flag",IF(F9="","status",IF(AND(G9=0,OR(F9="Firm",F9="Estimate",AND(F9="If required",ISNUMBER(H9)))),"basis",IF(AND(OR(F9="Firm",F9="Estimate"),G9&lt;&gt;11,NOT(ISNUMBER(H9))),"rate",IF(AND(O9=0,G9=9,OR(F9="Firm",F9="Estimate"),ISNUMBER(H9)),"base",IF(OR(C9="",C9="Unclassified"),"unclass",IF(U9=1,"dup",IF(AND(Audit!$C$19="Yes",O9=1,NOT(ISNUMBER(Audit!$M$61))),"noagree","")))))))))</f>
        <v/>
      </c>
      <c r="Y9" s="0" t="n">
        <f aca="false">IF(ISNUMBER(Audit!$K$61),Audit!$K$61,0)</f>
        <v>0</v>
      </c>
      <c r="Z9" s="0" t="n">
        <f aca="false">IF(AND(F9="Firm",O9=1,ISNUMBER(J9)),L9*J9,0)</f>
        <v>0</v>
      </c>
      <c r="AE9" s="0" t="s">
        <v>302</v>
      </c>
      <c r="AF9" s="0" t="n">
        <f aca="false">COUNTIFS($Q$2:$Q$51,"Exchange rate missing")</f>
        <v>0</v>
      </c>
      <c r="AH9" s="0" t="n">
        <v>8</v>
      </c>
      <c r="AI9" s="0" t="str">
        <f aca="false">IFERROR(SMALL($J$70:$J$470,AH9),"")</f>
        <v/>
      </c>
      <c r="AJ9" s="0" t="str">
        <f aca="false">IF(AI9="","",MATCH(AI9,$J$70:$J$470,0))</f>
        <v/>
      </c>
      <c r="AL9" s="0" t="n">
        <v>8</v>
      </c>
      <c r="AM9" s="0" t="str">
        <f aca="false">IFERROR(SMALL($K$70:$K$470,AL9),"")</f>
        <v/>
      </c>
      <c r="AN9" s="0" t="str">
        <f aca="false">IF(AM9="","",MATCH(AM9,$K$70:$K$470,0))</f>
        <v/>
      </c>
    </row>
    <row r="10" customFormat="false" ht="15" hidden="false" customHeight="false" outlineLevel="0" collapsed="false">
      <c r="A10" s="0" t="n">
        <v>9</v>
      </c>
      <c r="B10" s="0" t="str">
        <f aca="false">TRIM(Audit!$B$62)</f>
        <v/>
      </c>
      <c r="C10" s="0" t="str">
        <f aca="false">Audit!$C$62&amp;""</f>
        <v/>
      </c>
      <c r="D10" s="0" t="str">
        <f aca="false">IF(B10="","",IF(C10="","Other",IFERROR(INDEX(Lists!$C$4:$C$16,MATCH(C10,Lists!$A$4:$A$16,0)),"Other")))</f>
        <v/>
      </c>
      <c r="E10" s="0" t="str">
        <f aca="false">IF(B10="","",IF(C10="","Other",IFERROR(INDEX(Lists!$B$4:$B$16,MATCH(C10,Lists!$A$4:$A$16,0)),"Other")))</f>
        <v/>
      </c>
      <c r="F10" s="0" t="str">
        <f aca="false">Audit!$G$62&amp;""</f>
        <v/>
      </c>
      <c r="G10" s="0" t="n">
        <f aca="false">IFERROR(MATCH(Audit!$D$62,Lists!$E$4:$E$14,0),0)</f>
        <v>0</v>
      </c>
      <c r="H10" s="0" t="str">
        <f aca="false">IF(ISNUMBER(Audit!$E$62),Audit!$E$62,"")</f>
        <v/>
      </c>
      <c r="I10" s="0" t="n">
        <f aca="false">IF(TRIM(Audit!$F$62)="",Audit!$C$25,TRIM(Audit!$F$62))</f>
        <v>0</v>
      </c>
      <c r="J10" s="0" t="n">
        <f aca="false">IF(OR(I10=Audit!$C$25,I10=""),1,IF(AND(I10=Audit!$C$31,ISNUMBER(Audit!$J$31)),Audit!$J$31,IF(AND(I10=Audit!$C$32,ISNUMBER(Audit!$J$32)),Audit!$J$32,"")))</f>
        <v>1</v>
      </c>
      <c r="K10" s="0" t="str">
        <f aca="false">IF(B10="","",IF(ISNUMBER(Audit!$I$62),Audit!$I$62,IF(G10=0,"",CHOOSE(G10,IF(ISNUMBER(Audit!$C$26),Audit!$C$26,1),1,1,1,$AF$33,$AF$30,$AF$31,1,"",1,0))))</f>
        <v/>
      </c>
      <c r="L10" s="0" t="str">
        <f aca="false">IF(O10=1,ROUND(MAX(H10*K10,IF(ISNUMBER(Audit!$J$62),Audit!$J$62,0)),2),"")</f>
        <v/>
      </c>
      <c r="M10" s="0" t="str">
        <f aca="false">IF(O10=1,ROUND(L10*(1+Y10),2),"")</f>
        <v/>
      </c>
      <c r="N10" s="0" t="str">
        <f aca="false">IF(O10=1,IF(ISNUMBER(J10),ROUND(M10*J10,2),""),"")</f>
        <v/>
      </c>
      <c r="O10" s="0" t="n">
        <f aca="false">IF(AND(B10&lt;&gt;"",OR(F10="Firm",F10="Estimate",F10="If required"),ISNUMBER(H10),G10&gt;0,G10&lt;&gt;11,ISNUMBER(K10)),1,0)</f>
        <v>0</v>
      </c>
      <c r="P10" s="0" t="str">
        <f aca="false">IF(ISNUMBER(Audit!$L$62),Audit!$L$62,"")</f>
        <v/>
      </c>
      <c r="Q10" s="0" t="str">
        <f aca="false">IF(B10="","",IF(OR(F10="At cost",F10="TBC"),"Not priced ("&amp;F10&amp;")",IF(OR(F10="Included",F10="Excluded",F10="Not applicable"),F10,IF(F10="","Status missing",IF(AND(F10="If required",NOT(ISNUMBER(H10))),"Not priced (if required)",IF(G10=0,"Basis missing",IF(G10=11,"Not priced (at cost)",IF(NOT(ISNUMBER(H10)),"Rate missing",IF(AND(G10=9,NOT(ISNUMBER(Audit!$I$62))),"Base amount missing",IF(NOT(ISNUMBER(J10)),"Exchange rate missing",IF(NOT(ISNUMBER(P10)),"Calculated — Not Independently Verified",IF(ABS(R10)&lt;=Lists!$B$44,"Verified","Error - differs by "&amp;TEXT(R10,"#,##0.00")&amp;" "&amp;I10))))))))))))</f>
        <v/>
      </c>
      <c r="R10" s="0" t="str">
        <f aca="false">IF(AND(O10=1,ISNUMBER(P10)),IF(ABS(P10-L10)&lt;=ABS(P10-M10),P10-L10,P10-M10),"")</f>
        <v/>
      </c>
      <c r="S10" s="0" t="n">
        <f aca="false">IF(AND(O10=1,ISNUMBER(Audit!$M$62),ISNUMBER(J10)),IF(H10-Audit!$M$62&gt;0.005,ROUND((H10-Audit!$M$62)*K10*(1+Y10)*J10,2),0),0)</f>
        <v>0</v>
      </c>
      <c r="T10" s="0" t="str">
        <f aca="false">Audit!$N$62&amp;""</f>
        <v/>
      </c>
      <c r="U10" s="0" t="n">
        <f aca="false">IF(B10="",0,IF(COUNTIFS($B$2:$B$51,B10,$D$2:$D$51,D10)&gt;1,1,0))</f>
        <v>0</v>
      </c>
      <c r="V10" s="0" t="str">
        <f aca="false">IF(D10="","",IFERROR(INDEX(Audit!$C$43:$C$49,MATCH(D10,Lists!$A$30:$A$36,0)),""))</f>
        <v/>
      </c>
      <c r="W10" s="0" t="n">
        <f aca="false">IF(AND(B10&lt;&gt;"",OR(F10="At cost",F10="TBC",AND(F10&lt;&gt;"If required",G10=11))),1,0)</f>
        <v>0</v>
      </c>
      <c r="X10" s="0" t="str">
        <f aca="false">IF(B10="","",IF(T10&lt;&gt;"","flag",IF(F10="","status",IF(AND(G10=0,OR(F10="Firm",F10="Estimate",AND(F10="If required",ISNUMBER(H10)))),"basis",IF(AND(OR(F10="Firm",F10="Estimate"),G10&lt;&gt;11,NOT(ISNUMBER(H10))),"rate",IF(AND(O10=0,G10=9,OR(F10="Firm",F10="Estimate"),ISNUMBER(H10)),"base",IF(OR(C10="",C10="Unclassified"),"unclass",IF(U10=1,"dup",IF(AND(Audit!$C$19="Yes",O10=1,NOT(ISNUMBER(Audit!$M$62))),"noagree","")))))))))</f>
        <v/>
      </c>
      <c r="Y10" s="0" t="n">
        <f aca="false">IF(ISNUMBER(Audit!$K$62),Audit!$K$62,0)</f>
        <v>0</v>
      </c>
      <c r="Z10" s="0" t="n">
        <f aca="false">IF(AND(F10="Firm",O10=1,ISNUMBER(J10)),L10*J10,0)</f>
        <v>0</v>
      </c>
      <c r="AE10" s="0" t="s">
        <v>303</v>
      </c>
      <c r="AF10" s="0" t="n">
        <f aca="false">SUMIFS($N$2:$N$51,$F$2:$F$51,"Firm")</f>
        <v>0</v>
      </c>
      <c r="AH10" s="0" t="n">
        <v>9</v>
      </c>
      <c r="AI10" s="0" t="str">
        <f aca="false">IFERROR(SMALL($J$70:$J$470,AH10),"")</f>
        <v/>
      </c>
      <c r="AJ10" s="0" t="str">
        <f aca="false">IF(AI10="","",MATCH(AI10,$J$70:$J$470,0))</f>
        <v/>
      </c>
      <c r="AL10" s="0" t="n">
        <v>9</v>
      </c>
      <c r="AM10" s="0" t="str">
        <f aca="false">IFERROR(SMALL($K$70:$K$470,AL10),"")</f>
        <v/>
      </c>
      <c r="AN10" s="0" t="str">
        <f aca="false">IF(AM10="","",MATCH(AM10,$K$70:$K$470,0))</f>
        <v/>
      </c>
    </row>
    <row r="11" customFormat="false" ht="15" hidden="false" customHeight="false" outlineLevel="0" collapsed="false">
      <c r="A11" s="0" t="n">
        <v>10</v>
      </c>
      <c r="B11" s="0" t="str">
        <f aca="false">TRIM(Audit!$B$63)</f>
        <v/>
      </c>
      <c r="C11" s="0" t="str">
        <f aca="false">Audit!$C$63&amp;""</f>
        <v/>
      </c>
      <c r="D11" s="0" t="str">
        <f aca="false">IF(B11="","",IF(C11="","Other",IFERROR(INDEX(Lists!$C$4:$C$16,MATCH(C11,Lists!$A$4:$A$16,0)),"Other")))</f>
        <v/>
      </c>
      <c r="E11" s="0" t="str">
        <f aca="false">IF(B11="","",IF(C11="","Other",IFERROR(INDEX(Lists!$B$4:$B$16,MATCH(C11,Lists!$A$4:$A$16,0)),"Other")))</f>
        <v/>
      </c>
      <c r="F11" s="0" t="str">
        <f aca="false">Audit!$G$63&amp;""</f>
        <v/>
      </c>
      <c r="G11" s="0" t="n">
        <f aca="false">IFERROR(MATCH(Audit!$D$63,Lists!$E$4:$E$14,0),0)</f>
        <v>0</v>
      </c>
      <c r="H11" s="0" t="str">
        <f aca="false">IF(ISNUMBER(Audit!$E$63),Audit!$E$63,"")</f>
        <v/>
      </c>
      <c r="I11" s="0" t="n">
        <f aca="false">IF(TRIM(Audit!$F$63)="",Audit!$C$25,TRIM(Audit!$F$63))</f>
        <v>0</v>
      </c>
      <c r="J11" s="0" t="n">
        <f aca="false">IF(OR(I11=Audit!$C$25,I11=""),1,IF(AND(I11=Audit!$C$31,ISNUMBER(Audit!$J$31)),Audit!$J$31,IF(AND(I11=Audit!$C$32,ISNUMBER(Audit!$J$32)),Audit!$J$32,"")))</f>
        <v>1</v>
      </c>
      <c r="K11" s="0" t="str">
        <f aca="false">IF(B11="","",IF(ISNUMBER(Audit!$I$63),Audit!$I$63,IF(G11=0,"",CHOOSE(G11,IF(ISNUMBER(Audit!$C$26),Audit!$C$26,1),1,1,1,$AF$33,$AF$30,$AF$31,1,"",1,0))))</f>
        <v/>
      </c>
      <c r="L11" s="0" t="str">
        <f aca="false">IF(O11=1,ROUND(MAX(H11*K11,IF(ISNUMBER(Audit!$J$63),Audit!$J$63,0)),2),"")</f>
        <v/>
      </c>
      <c r="M11" s="0" t="str">
        <f aca="false">IF(O11=1,ROUND(L11*(1+Y11),2),"")</f>
        <v/>
      </c>
      <c r="N11" s="0" t="str">
        <f aca="false">IF(O11=1,IF(ISNUMBER(J11),ROUND(M11*J11,2),""),"")</f>
        <v/>
      </c>
      <c r="O11" s="0" t="n">
        <f aca="false">IF(AND(B11&lt;&gt;"",OR(F11="Firm",F11="Estimate",F11="If required"),ISNUMBER(H11),G11&gt;0,G11&lt;&gt;11,ISNUMBER(K11)),1,0)</f>
        <v>0</v>
      </c>
      <c r="P11" s="0" t="str">
        <f aca="false">IF(ISNUMBER(Audit!$L$63),Audit!$L$63,"")</f>
        <v/>
      </c>
      <c r="Q11" s="0" t="str">
        <f aca="false">IF(B11="","",IF(OR(F11="At cost",F11="TBC"),"Not priced ("&amp;F11&amp;")",IF(OR(F11="Included",F11="Excluded",F11="Not applicable"),F11,IF(F11="","Status missing",IF(AND(F11="If required",NOT(ISNUMBER(H11))),"Not priced (if required)",IF(G11=0,"Basis missing",IF(G11=11,"Not priced (at cost)",IF(NOT(ISNUMBER(H11)),"Rate missing",IF(AND(G11=9,NOT(ISNUMBER(Audit!$I$63))),"Base amount missing",IF(NOT(ISNUMBER(J11)),"Exchange rate missing",IF(NOT(ISNUMBER(P11)),"Calculated — Not Independently Verified",IF(ABS(R11)&lt;=Lists!$B$44,"Verified","Error - differs by "&amp;TEXT(R11,"#,##0.00")&amp;" "&amp;I11))))))))))))</f>
        <v/>
      </c>
      <c r="R11" s="0" t="str">
        <f aca="false">IF(AND(O11=1,ISNUMBER(P11)),IF(ABS(P11-L11)&lt;=ABS(P11-M11),P11-L11,P11-M11),"")</f>
        <v/>
      </c>
      <c r="S11" s="0" t="n">
        <f aca="false">IF(AND(O11=1,ISNUMBER(Audit!$M$63),ISNUMBER(J11)),IF(H11-Audit!$M$63&gt;0.005,ROUND((H11-Audit!$M$63)*K11*(1+Y11)*J11,2),0),0)</f>
        <v>0</v>
      </c>
      <c r="T11" s="0" t="str">
        <f aca="false">Audit!$N$63&amp;""</f>
        <v/>
      </c>
      <c r="U11" s="0" t="n">
        <f aca="false">IF(B11="",0,IF(COUNTIFS($B$2:$B$51,B11,$D$2:$D$51,D11)&gt;1,1,0))</f>
        <v>0</v>
      </c>
      <c r="V11" s="0" t="str">
        <f aca="false">IF(D11="","",IFERROR(INDEX(Audit!$C$43:$C$49,MATCH(D11,Lists!$A$30:$A$36,0)),""))</f>
        <v/>
      </c>
      <c r="W11" s="0" t="n">
        <f aca="false">IF(AND(B11&lt;&gt;"",OR(F11="At cost",F11="TBC",AND(F11&lt;&gt;"If required",G11=11))),1,0)</f>
        <v>0</v>
      </c>
      <c r="X11" s="0" t="str">
        <f aca="false">IF(B11="","",IF(T11&lt;&gt;"","flag",IF(F11="","status",IF(AND(G11=0,OR(F11="Firm",F11="Estimate",AND(F11="If required",ISNUMBER(H11)))),"basis",IF(AND(OR(F11="Firm",F11="Estimate"),G11&lt;&gt;11,NOT(ISNUMBER(H11))),"rate",IF(AND(O11=0,G11=9,OR(F11="Firm",F11="Estimate"),ISNUMBER(H11)),"base",IF(OR(C11="",C11="Unclassified"),"unclass",IF(U11=1,"dup",IF(AND(Audit!$C$19="Yes",O11=1,NOT(ISNUMBER(Audit!$M$63))),"noagree","")))))))))</f>
        <v/>
      </c>
      <c r="Y11" s="0" t="n">
        <f aca="false">IF(ISNUMBER(Audit!$K$63),Audit!$K$63,0)</f>
        <v>0</v>
      </c>
      <c r="Z11" s="0" t="n">
        <f aca="false">IF(AND(F11="Firm",O11=1,ISNUMBER(J11)),L11*J11,0)</f>
        <v>0</v>
      </c>
      <c r="AE11" s="0" t="s">
        <v>304</v>
      </c>
      <c r="AF11" s="0" t="n">
        <f aca="false">SUMIFS($N$2:$N$51,$F$2:$F$51,"Estimate")</f>
        <v>0</v>
      </c>
      <c r="AH11" s="0" t="n">
        <v>10</v>
      </c>
      <c r="AI11" s="0" t="str">
        <f aca="false">IFERROR(SMALL($J$70:$J$470,AH11),"")</f>
        <v/>
      </c>
      <c r="AJ11" s="0" t="str">
        <f aca="false">IF(AI11="","",MATCH(AI11,$J$70:$J$470,0))</f>
        <v/>
      </c>
      <c r="AL11" s="0" t="n">
        <v>10</v>
      </c>
      <c r="AM11" s="0" t="str">
        <f aca="false">IFERROR(SMALL($K$70:$K$470,AL11),"")</f>
        <v/>
      </c>
      <c r="AN11" s="0" t="str">
        <f aca="false">IF(AM11="","",MATCH(AM11,$K$70:$K$470,0))</f>
        <v/>
      </c>
    </row>
    <row r="12" customFormat="false" ht="15" hidden="false" customHeight="false" outlineLevel="0" collapsed="false">
      <c r="A12" s="0" t="n">
        <v>11</v>
      </c>
      <c r="B12" s="0" t="str">
        <f aca="false">TRIM(Audit!$B$64)</f>
        <v/>
      </c>
      <c r="C12" s="0" t="str">
        <f aca="false">Audit!$C$64&amp;""</f>
        <v/>
      </c>
      <c r="D12" s="0" t="str">
        <f aca="false">IF(B12="","",IF(C12="","Other",IFERROR(INDEX(Lists!$C$4:$C$16,MATCH(C12,Lists!$A$4:$A$16,0)),"Other")))</f>
        <v/>
      </c>
      <c r="E12" s="0" t="str">
        <f aca="false">IF(B12="","",IF(C12="","Other",IFERROR(INDEX(Lists!$B$4:$B$16,MATCH(C12,Lists!$A$4:$A$16,0)),"Other")))</f>
        <v/>
      </c>
      <c r="F12" s="0" t="str">
        <f aca="false">Audit!$G$64&amp;""</f>
        <v/>
      </c>
      <c r="G12" s="0" t="n">
        <f aca="false">IFERROR(MATCH(Audit!$D$64,Lists!$E$4:$E$14,0),0)</f>
        <v>0</v>
      </c>
      <c r="H12" s="0" t="str">
        <f aca="false">IF(ISNUMBER(Audit!$E$64),Audit!$E$64,"")</f>
        <v/>
      </c>
      <c r="I12" s="0" t="n">
        <f aca="false">IF(TRIM(Audit!$F$64)="",Audit!$C$25,TRIM(Audit!$F$64))</f>
        <v>0</v>
      </c>
      <c r="J12" s="0" t="n">
        <f aca="false">IF(OR(I12=Audit!$C$25,I12=""),1,IF(AND(I12=Audit!$C$31,ISNUMBER(Audit!$J$31)),Audit!$J$31,IF(AND(I12=Audit!$C$32,ISNUMBER(Audit!$J$32)),Audit!$J$32,"")))</f>
        <v>1</v>
      </c>
      <c r="K12" s="0" t="str">
        <f aca="false">IF(B12="","",IF(ISNUMBER(Audit!$I$64),Audit!$I$64,IF(G12=0,"",CHOOSE(G12,IF(ISNUMBER(Audit!$C$26),Audit!$C$26,1),1,1,1,$AF$33,$AF$30,$AF$31,1,"",1,0))))</f>
        <v/>
      </c>
      <c r="L12" s="0" t="str">
        <f aca="false">IF(O12=1,ROUND(MAX(H12*K12,IF(ISNUMBER(Audit!$J$64),Audit!$J$64,0)),2),"")</f>
        <v/>
      </c>
      <c r="M12" s="0" t="str">
        <f aca="false">IF(O12=1,ROUND(L12*(1+Y12),2),"")</f>
        <v/>
      </c>
      <c r="N12" s="0" t="str">
        <f aca="false">IF(O12=1,IF(ISNUMBER(J12),ROUND(M12*J12,2),""),"")</f>
        <v/>
      </c>
      <c r="O12" s="0" t="n">
        <f aca="false">IF(AND(B12&lt;&gt;"",OR(F12="Firm",F12="Estimate",F12="If required"),ISNUMBER(H12),G12&gt;0,G12&lt;&gt;11,ISNUMBER(K12)),1,0)</f>
        <v>0</v>
      </c>
      <c r="P12" s="0" t="str">
        <f aca="false">IF(ISNUMBER(Audit!$L$64),Audit!$L$64,"")</f>
        <v/>
      </c>
      <c r="Q12" s="0" t="str">
        <f aca="false">IF(B12="","",IF(OR(F12="At cost",F12="TBC"),"Not priced ("&amp;F12&amp;")",IF(OR(F12="Included",F12="Excluded",F12="Not applicable"),F12,IF(F12="","Status missing",IF(AND(F12="If required",NOT(ISNUMBER(H12))),"Not priced (if required)",IF(G12=0,"Basis missing",IF(G12=11,"Not priced (at cost)",IF(NOT(ISNUMBER(H12)),"Rate missing",IF(AND(G12=9,NOT(ISNUMBER(Audit!$I$64))),"Base amount missing",IF(NOT(ISNUMBER(J12)),"Exchange rate missing",IF(NOT(ISNUMBER(P12)),"Calculated — Not Independently Verified",IF(ABS(R12)&lt;=Lists!$B$44,"Verified","Error - differs by "&amp;TEXT(R12,"#,##0.00")&amp;" "&amp;I12))))))))))))</f>
        <v/>
      </c>
      <c r="R12" s="0" t="str">
        <f aca="false">IF(AND(O12=1,ISNUMBER(P12)),IF(ABS(P12-L12)&lt;=ABS(P12-M12),P12-L12,P12-M12),"")</f>
        <v/>
      </c>
      <c r="S12" s="0" t="n">
        <f aca="false">IF(AND(O12=1,ISNUMBER(Audit!$M$64),ISNUMBER(J12)),IF(H12-Audit!$M$64&gt;0.005,ROUND((H12-Audit!$M$64)*K12*(1+Y12)*J12,2),0),0)</f>
        <v>0</v>
      </c>
      <c r="T12" s="0" t="str">
        <f aca="false">Audit!$N$64&amp;""</f>
        <v/>
      </c>
      <c r="U12" s="0" t="n">
        <f aca="false">IF(B12="",0,IF(COUNTIFS($B$2:$B$51,B12,$D$2:$D$51,D12)&gt;1,1,0))</f>
        <v>0</v>
      </c>
      <c r="V12" s="0" t="str">
        <f aca="false">IF(D12="","",IFERROR(INDEX(Audit!$C$43:$C$49,MATCH(D12,Lists!$A$30:$A$36,0)),""))</f>
        <v/>
      </c>
      <c r="W12" s="0" t="n">
        <f aca="false">IF(AND(B12&lt;&gt;"",OR(F12="At cost",F12="TBC",AND(F12&lt;&gt;"If required",G12=11))),1,0)</f>
        <v>0</v>
      </c>
      <c r="X12" s="0" t="str">
        <f aca="false">IF(B12="","",IF(T12&lt;&gt;"","flag",IF(F12="","status",IF(AND(G12=0,OR(F12="Firm",F12="Estimate",AND(F12="If required",ISNUMBER(H12)))),"basis",IF(AND(OR(F12="Firm",F12="Estimate"),G12&lt;&gt;11,NOT(ISNUMBER(H12))),"rate",IF(AND(O12=0,G12=9,OR(F12="Firm",F12="Estimate"),ISNUMBER(H12)),"base",IF(OR(C12="",C12="Unclassified"),"unclass",IF(U12=1,"dup",IF(AND(Audit!$C$19="Yes",O12=1,NOT(ISNUMBER(Audit!$M$64))),"noagree","")))))))))</f>
        <v/>
      </c>
      <c r="Y12" s="0" t="n">
        <f aca="false">IF(ISNUMBER(Audit!$K$64),Audit!$K$64,0)</f>
        <v>0</v>
      </c>
      <c r="Z12" s="0" t="n">
        <f aca="false">IF(AND(F12="Firm",O12=1,ISNUMBER(J12)),L12*J12,0)</f>
        <v>0</v>
      </c>
      <c r="AE12" s="0" t="s">
        <v>305</v>
      </c>
      <c r="AF12" s="0" t="n">
        <f aca="false">COUNTIFS($F$2:$F$51,"Estimate")</f>
        <v>0</v>
      </c>
      <c r="AH12" s="0" t="n">
        <v>11</v>
      </c>
      <c r="AI12" s="0" t="str">
        <f aca="false">IFERROR(SMALL($J$70:$J$470,AH12),"")</f>
        <v/>
      </c>
      <c r="AJ12" s="0" t="str">
        <f aca="false">IF(AI12="","",MATCH(AI12,$J$70:$J$470,0))</f>
        <v/>
      </c>
      <c r="AL12" s="0" t="n">
        <v>11</v>
      </c>
      <c r="AM12" s="0" t="str">
        <f aca="false">IFERROR(SMALL($K$70:$K$470,AL12),"")</f>
        <v/>
      </c>
      <c r="AN12" s="0" t="str">
        <f aca="false">IF(AM12="","",MATCH(AM12,$K$70:$K$470,0))</f>
        <v/>
      </c>
    </row>
    <row r="13" customFormat="false" ht="15" hidden="false" customHeight="false" outlineLevel="0" collapsed="false">
      <c r="A13" s="0" t="n">
        <v>12</v>
      </c>
      <c r="B13" s="0" t="str">
        <f aca="false">TRIM(Audit!$B$65)</f>
        <v/>
      </c>
      <c r="C13" s="0" t="str">
        <f aca="false">Audit!$C$65&amp;""</f>
        <v/>
      </c>
      <c r="D13" s="0" t="str">
        <f aca="false">IF(B13="","",IF(C13="","Other",IFERROR(INDEX(Lists!$C$4:$C$16,MATCH(C13,Lists!$A$4:$A$16,0)),"Other")))</f>
        <v/>
      </c>
      <c r="E13" s="0" t="str">
        <f aca="false">IF(B13="","",IF(C13="","Other",IFERROR(INDEX(Lists!$B$4:$B$16,MATCH(C13,Lists!$A$4:$A$16,0)),"Other")))</f>
        <v/>
      </c>
      <c r="F13" s="0" t="str">
        <f aca="false">Audit!$G$65&amp;""</f>
        <v/>
      </c>
      <c r="G13" s="0" t="n">
        <f aca="false">IFERROR(MATCH(Audit!$D$65,Lists!$E$4:$E$14,0),0)</f>
        <v>0</v>
      </c>
      <c r="H13" s="0" t="str">
        <f aca="false">IF(ISNUMBER(Audit!$E$65),Audit!$E$65,"")</f>
        <v/>
      </c>
      <c r="I13" s="0" t="n">
        <f aca="false">IF(TRIM(Audit!$F$65)="",Audit!$C$25,TRIM(Audit!$F$65))</f>
        <v>0</v>
      </c>
      <c r="J13" s="0" t="n">
        <f aca="false">IF(OR(I13=Audit!$C$25,I13=""),1,IF(AND(I13=Audit!$C$31,ISNUMBER(Audit!$J$31)),Audit!$J$31,IF(AND(I13=Audit!$C$32,ISNUMBER(Audit!$J$32)),Audit!$J$32,"")))</f>
        <v>1</v>
      </c>
      <c r="K13" s="0" t="str">
        <f aca="false">IF(B13="","",IF(ISNUMBER(Audit!$I$65),Audit!$I$65,IF(G13=0,"",CHOOSE(G13,IF(ISNUMBER(Audit!$C$26),Audit!$C$26,1),1,1,1,$AF$33,$AF$30,$AF$31,1,"",1,0))))</f>
        <v/>
      </c>
      <c r="L13" s="0" t="str">
        <f aca="false">IF(O13=1,ROUND(MAX(H13*K13,IF(ISNUMBER(Audit!$J$65),Audit!$J$65,0)),2),"")</f>
        <v/>
      </c>
      <c r="M13" s="0" t="str">
        <f aca="false">IF(O13=1,ROUND(L13*(1+Y13),2),"")</f>
        <v/>
      </c>
      <c r="N13" s="0" t="str">
        <f aca="false">IF(O13=1,IF(ISNUMBER(J13),ROUND(M13*J13,2),""),"")</f>
        <v/>
      </c>
      <c r="O13" s="0" t="n">
        <f aca="false">IF(AND(B13&lt;&gt;"",OR(F13="Firm",F13="Estimate",F13="If required"),ISNUMBER(H13),G13&gt;0,G13&lt;&gt;11,ISNUMBER(K13)),1,0)</f>
        <v>0</v>
      </c>
      <c r="P13" s="0" t="str">
        <f aca="false">IF(ISNUMBER(Audit!$L$65),Audit!$L$65,"")</f>
        <v/>
      </c>
      <c r="Q13" s="0" t="str">
        <f aca="false">IF(B13="","",IF(OR(F13="At cost",F13="TBC"),"Not priced ("&amp;F13&amp;")",IF(OR(F13="Included",F13="Excluded",F13="Not applicable"),F13,IF(F13="","Status missing",IF(AND(F13="If required",NOT(ISNUMBER(H13))),"Not priced (if required)",IF(G13=0,"Basis missing",IF(G13=11,"Not priced (at cost)",IF(NOT(ISNUMBER(H13)),"Rate missing",IF(AND(G13=9,NOT(ISNUMBER(Audit!$I$65))),"Base amount missing",IF(NOT(ISNUMBER(J13)),"Exchange rate missing",IF(NOT(ISNUMBER(P13)),"Calculated — Not Independently Verified",IF(ABS(R13)&lt;=Lists!$B$44,"Verified","Error - differs by "&amp;TEXT(R13,"#,##0.00")&amp;" "&amp;I13))))))))))))</f>
        <v/>
      </c>
      <c r="R13" s="0" t="str">
        <f aca="false">IF(AND(O13=1,ISNUMBER(P13)),IF(ABS(P13-L13)&lt;=ABS(P13-M13),P13-L13,P13-M13),"")</f>
        <v/>
      </c>
      <c r="S13" s="0" t="n">
        <f aca="false">IF(AND(O13=1,ISNUMBER(Audit!$M$65),ISNUMBER(J13)),IF(H13-Audit!$M$65&gt;0.005,ROUND((H13-Audit!$M$65)*K13*(1+Y13)*J13,2),0),0)</f>
        <v>0</v>
      </c>
      <c r="T13" s="0" t="str">
        <f aca="false">Audit!$N$65&amp;""</f>
        <v/>
      </c>
      <c r="U13" s="0" t="n">
        <f aca="false">IF(B13="",0,IF(COUNTIFS($B$2:$B$51,B13,$D$2:$D$51,D13)&gt;1,1,0))</f>
        <v>0</v>
      </c>
      <c r="V13" s="0" t="str">
        <f aca="false">IF(D13="","",IFERROR(INDEX(Audit!$C$43:$C$49,MATCH(D13,Lists!$A$30:$A$36,0)),""))</f>
        <v/>
      </c>
      <c r="W13" s="0" t="n">
        <f aca="false">IF(AND(B13&lt;&gt;"",OR(F13="At cost",F13="TBC",AND(F13&lt;&gt;"If required",G13=11))),1,0)</f>
        <v>0</v>
      </c>
      <c r="X13" s="0" t="str">
        <f aca="false">IF(B13="","",IF(T13&lt;&gt;"","flag",IF(F13="","status",IF(AND(G13=0,OR(F13="Firm",F13="Estimate",AND(F13="If required",ISNUMBER(H13)))),"basis",IF(AND(OR(F13="Firm",F13="Estimate"),G13&lt;&gt;11,NOT(ISNUMBER(H13))),"rate",IF(AND(O13=0,G13=9,OR(F13="Firm",F13="Estimate"),ISNUMBER(H13)),"base",IF(OR(C13="",C13="Unclassified"),"unclass",IF(U13=1,"dup",IF(AND(Audit!$C$19="Yes",O13=1,NOT(ISNUMBER(Audit!$M$65))),"noagree","")))))))))</f>
        <v/>
      </c>
      <c r="Y13" s="0" t="n">
        <f aca="false">IF(ISNUMBER(Audit!$K$65),Audit!$K$65,0)</f>
        <v>0</v>
      </c>
      <c r="Z13" s="0" t="n">
        <f aca="false">IF(AND(F13="Firm",O13=1,ISNUMBER(J13)),L13*J13,0)</f>
        <v>0</v>
      </c>
      <c r="AE13" s="0" t="s">
        <v>306</v>
      </c>
      <c r="AF13" s="0" t="n">
        <f aca="false">SUMIFS($N$2:$N$51,$F$2:$F$51,"If required")</f>
        <v>0</v>
      </c>
      <c r="AH13" s="0" t="n">
        <v>12</v>
      </c>
      <c r="AI13" s="0" t="str">
        <f aca="false">IFERROR(SMALL($J$70:$J$470,AH13),"")</f>
        <v/>
      </c>
      <c r="AJ13" s="0" t="str">
        <f aca="false">IF(AI13="","",MATCH(AI13,$J$70:$J$470,0))</f>
        <v/>
      </c>
      <c r="AL13" s="0" t="n">
        <v>12</v>
      </c>
      <c r="AM13" s="0" t="str">
        <f aca="false">IFERROR(SMALL($K$70:$K$470,AL13),"")</f>
        <v/>
      </c>
      <c r="AN13" s="0" t="str">
        <f aca="false">IF(AM13="","",MATCH(AM13,$K$70:$K$470,0))</f>
        <v/>
      </c>
    </row>
    <row r="14" customFormat="false" ht="15" hidden="false" customHeight="false" outlineLevel="0" collapsed="false">
      <c r="A14" s="0" t="n">
        <v>13</v>
      </c>
      <c r="B14" s="0" t="str">
        <f aca="false">TRIM(Audit!$B$66)</f>
        <v/>
      </c>
      <c r="C14" s="0" t="str">
        <f aca="false">Audit!$C$66&amp;""</f>
        <v/>
      </c>
      <c r="D14" s="0" t="str">
        <f aca="false">IF(B14="","",IF(C14="","Other",IFERROR(INDEX(Lists!$C$4:$C$16,MATCH(C14,Lists!$A$4:$A$16,0)),"Other")))</f>
        <v/>
      </c>
      <c r="E14" s="0" t="str">
        <f aca="false">IF(B14="","",IF(C14="","Other",IFERROR(INDEX(Lists!$B$4:$B$16,MATCH(C14,Lists!$A$4:$A$16,0)),"Other")))</f>
        <v/>
      </c>
      <c r="F14" s="0" t="str">
        <f aca="false">Audit!$G$66&amp;""</f>
        <v/>
      </c>
      <c r="G14" s="0" t="n">
        <f aca="false">IFERROR(MATCH(Audit!$D$66,Lists!$E$4:$E$14,0),0)</f>
        <v>0</v>
      </c>
      <c r="H14" s="0" t="str">
        <f aca="false">IF(ISNUMBER(Audit!$E$66),Audit!$E$66,"")</f>
        <v/>
      </c>
      <c r="I14" s="0" t="n">
        <f aca="false">IF(TRIM(Audit!$F$66)="",Audit!$C$25,TRIM(Audit!$F$66))</f>
        <v>0</v>
      </c>
      <c r="J14" s="0" t="n">
        <f aca="false">IF(OR(I14=Audit!$C$25,I14=""),1,IF(AND(I14=Audit!$C$31,ISNUMBER(Audit!$J$31)),Audit!$J$31,IF(AND(I14=Audit!$C$32,ISNUMBER(Audit!$J$32)),Audit!$J$32,"")))</f>
        <v>1</v>
      </c>
      <c r="K14" s="0" t="str">
        <f aca="false">IF(B14="","",IF(ISNUMBER(Audit!$I$66),Audit!$I$66,IF(G14=0,"",CHOOSE(G14,IF(ISNUMBER(Audit!$C$26),Audit!$C$26,1),1,1,1,$AF$33,$AF$30,$AF$31,1,"",1,0))))</f>
        <v/>
      </c>
      <c r="L14" s="0" t="str">
        <f aca="false">IF(O14=1,ROUND(MAX(H14*K14,IF(ISNUMBER(Audit!$J$66),Audit!$J$66,0)),2),"")</f>
        <v/>
      </c>
      <c r="M14" s="0" t="str">
        <f aca="false">IF(O14=1,ROUND(L14*(1+Y14),2),"")</f>
        <v/>
      </c>
      <c r="N14" s="0" t="str">
        <f aca="false">IF(O14=1,IF(ISNUMBER(J14),ROUND(M14*J14,2),""),"")</f>
        <v/>
      </c>
      <c r="O14" s="0" t="n">
        <f aca="false">IF(AND(B14&lt;&gt;"",OR(F14="Firm",F14="Estimate",F14="If required"),ISNUMBER(H14),G14&gt;0,G14&lt;&gt;11,ISNUMBER(K14)),1,0)</f>
        <v>0</v>
      </c>
      <c r="P14" s="0" t="str">
        <f aca="false">IF(ISNUMBER(Audit!$L$66),Audit!$L$66,"")</f>
        <v/>
      </c>
      <c r="Q14" s="0" t="str">
        <f aca="false">IF(B14="","",IF(OR(F14="At cost",F14="TBC"),"Not priced ("&amp;F14&amp;")",IF(OR(F14="Included",F14="Excluded",F14="Not applicable"),F14,IF(F14="","Status missing",IF(AND(F14="If required",NOT(ISNUMBER(H14))),"Not priced (if required)",IF(G14=0,"Basis missing",IF(G14=11,"Not priced (at cost)",IF(NOT(ISNUMBER(H14)),"Rate missing",IF(AND(G14=9,NOT(ISNUMBER(Audit!$I$66))),"Base amount missing",IF(NOT(ISNUMBER(J14)),"Exchange rate missing",IF(NOT(ISNUMBER(P14)),"Calculated — Not Independently Verified",IF(ABS(R14)&lt;=Lists!$B$44,"Verified","Error - differs by "&amp;TEXT(R14,"#,##0.00")&amp;" "&amp;I14))))))))))))</f>
        <v/>
      </c>
      <c r="R14" s="0" t="str">
        <f aca="false">IF(AND(O14=1,ISNUMBER(P14)),IF(ABS(P14-L14)&lt;=ABS(P14-M14),P14-L14,P14-M14),"")</f>
        <v/>
      </c>
      <c r="S14" s="0" t="n">
        <f aca="false">IF(AND(O14=1,ISNUMBER(Audit!$M$66),ISNUMBER(J14)),IF(H14-Audit!$M$66&gt;0.005,ROUND((H14-Audit!$M$66)*K14*(1+Y14)*J14,2),0),0)</f>
        <v>0</v>
      </c>
      <c r="T14" s="0" t="str">
        <f aca="false">Audit!$N$66&amp;""</f>
        <v/>
      </c>
      <c r="U14" s="0" t="n">
        <f aca="false">IF(B14="",0,IF(COUNTIFS($B$2:$B$51,B14,$D$2:$D$51,D14)&gt;1,1,0))</f>
        <v>0</v>
      </c>
      <c r="V14" s="0" t="str">
        <f aca="false">IF(D14="","",IFERROR(INDEX(Audit!$C$43:$C$49,MATCH(D14,Lists!$A$30:$A$36,0)),""))</f>
        <v/>
      </c>
      <c r="W14" s="0" t="n">
        <f aca="false">IF(AND(B14&lt;&gt;"",OR(F14="At cost",F14="TBC",AND(F14&lt;&gt;"If required",G14=11))),1,0)</f>
        <v>0</v>
      </c>
      <c r="X14" s="0" t="str">
        <f aca="false">IF(B14="","",IF(T14&lt;&gt;"","flag",IF(F14="","status",IF(AND(G14=0,OR(F14="Firm",F14="Estimate",AND(F14="If required",ISNUMBER(H14)))),"basis",IF(AND(OR(F14="Firm",F14="Estimate"),G14&lt;&gt;11,NOT(ISNUMBER(H14))),"rate",IF(AND(O14=0,G14=9,OR(F14="Firm",F14="Estimate"),ISNUMBER(H14)),"base",IF(OR(C14="",C14="Unclassified"),"unclass",IF(U14=1,"dup",IF(AND(Audit!$C$19="Yes",O14=1,NOT(ISNUMBER(Audit!$M$66))),"noagree","")))))))))</f>
        <v/>
      </c>
      <c r="Y14" s="0" t="n">
        <f aca="false">IF(ISNUMBER(Audit!$K$66),Audit!$K$66,0)</f>
        <v>0</v>
      </c>
      <c r="Z14" s="0" t="n">
        <f aca="false">IF(AND(F14="Firm",O14=1,ISNUMBER(J14)),L14*J14,0)</f>
        <v>0</v>
      </c>
      <c r="AE14" s="0" t="s">
        <v>307</v>
      </c>
      <c r="AF14" s="0" t="n">
        <f aca="false">COUNTIFS($F$2:$F$51,"If required",$O$2:$O$51,0)</f>
        <v>0</v>
      </c>
      <c r="AH14" s="0" t="n">
        <v>13</v>
      </c>
      <c r="AI14" s="0" t="str">
        <f aca="false">IFERROR(SMALL($J$70:$J$470,AH14),"")</f>
        <v/>
      </c>
      <c r="AJ14" s="0" t="str">
        <f aca="false">IF(AI14="","",MATCH(AI14,$J$70:$J$470,0))</f>
        <v/>
      </c>
      <c r="AL14" s="0" t="n">
        <v>13</v>
      </c>
      <c r="AM14" s="0" t="str">
        <f aca="false">IFERROR(SMALL($K$70:$K$470,AL14),"")</f>
        <v/>
      </c>
      <c r="AN14" s="0" t="str">
        <f aca="false">IF(AM14="","",MATCH(AM14,$K$70:$K$470,0))</f>
        <v/>
      </c>
    </row>
    <row r="15" customFormat="false" ht="15" hidden="false" customHeight="false" outlineLevel="0" collapsed="false">
      <c r="A15" s="0" t="n">
        <v>14</v>
      </c>
      <c r="B15" s="0" t="str">
        <f aca="false">TRIM(Audit!$B$67)</f>
        <v/>
      </c>
      <c r="C15" s="0" t="str">
        <f aca="false">Audit!$C$67&amp;""</f>
        <v/>
      </c>
      <c r="D15" s="0" t="str">
        <f aca="false">IF(B15="","",IF(C15="","Other",IFERROR(INDEX(Lists!$C$4:$C$16,MATCH(C15,Lists!$A$4:$A$16,0)),"Other")))</f>
        <v/>
      </c>
      <c r="E15" s="0" t="str">
        <f aca="false">IF(B15="","",IF(C15="","Other",IFERROR(INDEX(Lists!$B$4:$B$16,MATCH(C15,Lists!$A$4:$A$16,0)),"Other")))</f>
        <v/>
      </c>
      <c r="F15" s="0" t="str">
        <f aca="false">Audit!$G$67&amp;""</f>
        <v/>
      </c>
      <c r="G15" s="0" t="n">
        <f aca="false">IFERROR(MATCH(Audit!$D$67,Lists!$E$4:$E$14,0),0)</f>
        <v>0</v>
      </c>
      <c r="H15" s="0" t="str">
        <f aca="false">IF(ISNUMBER(Audit!$E$67),Audit!$E$67,"")</f>
        <v/>
      </c>
      <c r="I15" s="0" t="n">
        <f aca="false">IF(TRIM(Audit!$F$67)="",Audit!$C$25,TRIM(Audit!$F$67))</f>
        <v>0</v>
      </c>
      <c r="J15" s="0" t="n">
        <f aca="false">IF(OR(I15=Audit!$C$25,I15=""),1,IF(AND(I15=Audit!$C$31,ISNUMBER(Audit!$J$31)),Audit!$J$31,IF(AND(I15=Audit!$C$32,ISNUMBER(Audit!$J$32)),Audit!$J$32,"")))</f>
        <v>1</v>
      </c>
      <c r="K15" s="0" t="str">
        <f aca="false">IF(B15="","",IF(ISNUMBER(Audit!$I$67),Audit!$I$67,IF(G15=0,"",CHOOSE(G15,IF(ISNUMBER(Audit!$C$26),Audit!$C$26,1),1,1,1,$AF$33,$AF$30,$AF$31,1,"",1,0))))</f>
        <v/>
      </c>
      <c r="L15" s="0" t="str">
        <f aca="false">IF(O15=1,ROUND(MAX(H15*K15,IF(ISNUMBER(Audit!$J$67),Audit!$J$67,0)),2),"")</f>
        <v/>
      </c>
      <c r="M15" s="0" t="str">
        <f aca="false">IF(O15=1,ROUND(L15*(1+Y15),2),"")</f>
        <v/>
      </c>
      <c r="N15" s="0" t="str">
        <f aca="false">IF(O15=1,IF(ISNUMBER(J15),ROUND(M15*J15,2),""),"")</f>
        <v/>
      </c>
      <c r="O15" s="0" t="n">
        <f aca="false">IF(AND(B15&lt;&gt;"",OR(F15="Firm",F15="Estimate",F15="If required"),ISNUMBER(H15),G15&gt;0,G15&lt;&gt;11,ISNUMBER(K15)),1,0)</f>
        <v>0</v>
      </c>
      <c r="P15" s="0" t="str">
        <f aca="false">IF(ISNUMBER(Audit!$L$67),Audit!$L$67,"")</f>
        <v/>
      </c>
      <c r="Q15" s="0" t="str">
        <f aca="false">IF(B15="","",IF(OR(F15="At cost",F15="TBC"),"Not priced ("&amp;F15&amp;")",IF(OR(F15="Included",F15="Excluded",F15="Not applicable"),F15,IF(F15="","Status missing",IF(AND(F15="If required",NOT(ISNUMBER(H15))),"Not priced (if required)",IF(G15=0,"Basis missing",IF(G15=11,"Not priced (at cost)",IF(NOT(ISNUMBER(H15)),"Rate missing",IF(AND(G15=9,NOT(ISNUMBER(Audit!$I$67))),"Base amount missing",IF(NOT(ISNUMBER(J15)),"Exchange rate missing",IF(NOT(ISNUMBER(P15)),"Calculated — Not Independently Verified",IF(ABS(R15)&lt;=Lists!$B$44,"Verified","Error - differs by "&amp;TEXT(R15,"#,##0.00")&amp;" "&amp;I15))))))))))))</f>
        <v/>
      </c>
      <c r="R15" s="0" t="str">
        <f aca="false">IF(AND(O15=1,ISNUMBER(P15)),IF(ABS(P15-L15)&lt;=ABS(P15-M15),P15-L15,P15-M15),"")</f>
        <v/>
      </c>
      <c r="S15" s="0" t="n">
        <f aca="false">IF(AND(O15=1,ISNUMBER(Audit!$M$67),ISNUMBER(J15)),IF(H15-Audit!$M$67&gt;0.005,ROUND((H15-Audit!$M$67)*K15*(1+Y15)*J15,2),0),0)</f>
        <v>0</v>
      </c>
      <c r="T15" s="0" t="str">
        <f aca="false">Audit!$N$67&amp;""</f>
        <v/>
      </c>
      <c r="U15" s="0" t="n">
        <f aca="false">IF(B15="",0,IF(COUNTIFS($B$2:$B$51,B15,$D$2:$D$51,D15)&gt;1,1,0))</f>
        <v>0</v>
      </c>
      <c r="V15" s="0" t="str">
        <f aca="false">IF(D15="","",IFERROR(INDEX(Audit!$C$43:$C$49,MATCH(D15,Lists!$A$30:$A$36,0)),""))</f>
        <v/>
      </c>
      <c r="W15" s="0" t="n">
        <f aca="false">IF(AND(B15&lt;&gt;"",OR(F15="At cost",F15="TBC",AND(F15&lt;&gt;"If required",G15=11))),1,0)</f>
        <v>0</v>
      </c>
      <c r="X15" s="0" t="str">
        <f aca="false">IF(B15="","",IF(T15&lt;&gt;"","flag",IF(F15="","status",IF(AND(G15=0,OR(F15="Firm",F15="Estimate",AND(F15="If required",ISNUMBER(H15)))),"basis",IF(AND(OR(F15="Firm",F15="Estimate"),G15&lt;&gt;11,NOT(ISNUMBER(H15))),"rate",IF(AND(O15=0,G15=9,OR(F15="Firm",F15="Estimate"),ISNUMBER(H15)),"base",IF(OR(C15="",C15="Unclassified"),"unclass",IF(U15=1,"dup",IF(AND(Audit!$C$19="Yes",O15=1,NOT(ISNUMBER(Audit!$M$67))),"noagree","")))))))))</f>
        <v/>
      </c>
      <c r="Y15" s="0" t="n">
        <f aca="false">IF(ISNUMBER(Audit!$K$67),Audit!$K$67,0)</f>
        <v>0</v>
      </c>
      <c r="Z15" s="0" t="n">
        <f aca="false">IF(AND(F15="Firm",O15=1,ISNUMBER(J15)),L15*J15,0)</f>
        <v>0</v>
      </c>
      <c r="AE15" s="0" t="s">
        <v>308</v>
      </c>
      <c r="AF15" s="0" t="n">
        <f aca="false">SUM($W$2:$W$51)</f>
        <v>0</v>
      </c>
      <c r="AH15" s="0" t="n">
        <v>14</v>
      </c>
      <c r="AI15" s="0" t="str">
        <f aca="false">IFERROR(SMALL($J$70:$J$470,AH15),"")</f>
        <v/>
      </c>
      <c r="AJ15" s="0" t="str">
        <f aca="false">IF(AI15="","",MATCH(AI15,$J$70:$J$470,0))</f>
        <v/>
      </c>
      <c r="AL15" s="0" t="n">
        <v>14</v>
      </c>
      <c r="AM15" s="0" t="str">
        <f aca="false">IFERROR(SMALL($K$70:$K$470,AL15),"")</f>
        <v/>
      </c>
      <c r="AN15" s="0" t="str">
        <f aca="false">IF(AM15="","",MATCH(AM15,$K$70:$K$470,0))</f>
        <v/>
      </c>
    </row>
    <row r="16" customFormat="false" ht="15" hidden="false" customHeight="false" outlineLevel="0" collapsed="false">
      <c r="A16" s="0" t="n">
        <v>15</v>
      </c>
      <c r="B16" s="0" t="str">
        <f aca="false">TRIM(Audit!$B$68)</f>
        <v/>
      </c>
      <c r="C16" s="0" t="str">
        <f aca="false">Audit!$C$68&amp;""</f>
        <v/>
      </c>
      <c r="D16" s="0" t="str">
        <f aca="false">IF(B16="","",IF(C16="","Other",IFERROR(INDEX(Lists!$C$4:$C$16,MATCH(C16,Lists!$A$4:$A$16,0)),"Other")))</f>
        <v/>
      </c>
      <c r="E16" s="0" t="str">
        <f aca="false">IF(B16="","",IF(C16="","Other",IFERROR(INDEX(Lists!$B$4:$B$16,MATCH(C16,Lists!$A$4:$A$16,0)),"Other")))</f>
        <v/>
      </c>
      <c r="F16" s="0" t="str">
        <f aca="false">Audit!$G$68&amp;""</f>
        <v/>
      </c>
      <c r="G16" s="0" t="n">
        <f aca="false">IFERROR(MATCH(Audit!$D$68,Lists!$E$4:$E$14,0),0)</f>
        <v>0</v>
      </c>
      <c r="H16" s="0" t="str">
        <f aca="false">IF(ISNUMBER(Audit!$E$68),Audit!$E$68,"")</f>
        <v/>
      </c>
      <c r="I16" s="0" t="n">
        <f aca="false">IF(TRIM(Audit!$F$68)="",Audit!$C$25,TRIM(Audit!$F$68))</f>
        <v>0</v>
      </c>
      <c r="J16" s="0" t="n">
        <f aca="false">IF(OR(I16=Audit!$C$25,I16=""),1,IF(AND(I16=Audit!$C$31,ISNUMBER(Audit!$J$31)),Audit!$J$31,IF(AND(I16=Audit!$C$32,ISNUMBER(Audit!$J$32)),Audit!$J$32,"")))</f>
        <v>1</v>
      </c>
      <c r="K16" s="0" t="str">
        <f aca="false">IF(B16="","",IF(ISNUMBER(Audit!$I$68),Audit!$I$68,IF(G16=0,"",CHOOSE(G16,IF(ISNUMBER(Audit!$C$26),Audit!$C$26,1),1,1,1,$AF$33,$AF$30,$AF$31,1,"",1,0))))</f>
        <v/>
      </c>
      <c r="L16" s="0" t="str">
        <f aca="false">IF(O16=1,ROUND(MAX(H16*K16,IF(ISNUMBER(Audit!$J$68),Audit!$J$68,0)),2),"")</f>
        <v/>
      </c>
      <c r="M16" s="0" t="str">
        <f aca="false">IF(O16=1,ROUND(L16*(1+Y16),2),"")</f>
        <v/>
      </c>
      <c r="N16" s="0" t="str">
        <f aca="false">IF(O16=1,IF(ISNUMBER(J16),ROUND(M16*J16,2),""),"")</f>
        <v/>
      </c>
      <c r="O16" s="0" t="n">
        <f aca="false">IF(AND(B16&lt;&gt;"",OR(F16="Firm",F16="Estimate",F16="If required"),ISNUMBER(H16),G16&gt;0,G16&lt;&gt;11,ISNUMBER(K16)),1,0)</f>
        <v>0</v>
      </c>
      <c r="P16" s="0" t="str">
        <f aca="false">IF(ISNUMBER(Audit!$L$68),Audit!$L$68,"")</f>
        <v/>
      </c>
      <c r="Q16" s="0" t="str">
        <f aca="false">IF(B16="","",IF(OR(F16="At cost",F16="TBC"),"Not priced ("&amp;F16&amp;")",IF(OR(F16="Included",F16="Excluded",F16="Not applicable"),F16,IF(F16="","Status missing",IF(AND(F16="If required",NOT(ISNUMBER(H16))),"Not priced (if required)",IF(G16=0,"Basis missing",IF(G16=11,"Not priced (at cost)",IF(NOT(ISNUMBER(H16)),"Rate missing",IF(AND(G16=9,NOT(ISNUMBER(Audit!$I$68))),"Base amount missing",IF(NOT(ISNUMBER(J16)),"Exchange rate missing",IF(NOT(ISNUMBER(P16)),"Calculated — Not Independently Verified",IF(ABS(R16)&lt;=Lists!$B$44,"Verified","Error - differs by "&amp;TEXT(R16,"#,##0.00")&amp;" "&amp;I16))))))))))))</f>
        <v/>
      </c>
      <c r="R16" s="0" t="str">
        <f aca="false">IF(AND(O16=1,ISNUMBER(P16)),IF(ABS(P16-L16)&lt;=ABS(P16-M16),P16-L16,P16-M16),"")</f>
        <v/>
      </c>
      <c r="S16" s="0" t="n">
        <f aca="false">IF(AND(O16=1,ISNUMBER(Audit!$M$68),ISNUMBER(J16)),IF(H16-Audit!$M$68&gt;0.005,ROUND((H16-Audit!$M$68)*K16*(1+Y16)*J16,2),0),0)</f>
        <v>0</v>
      </c>
      <c r="T16" s="0" t="str">
        <f aca="false">Audit!$N$68&amp;""</f>
        <v/>
      </c>
      <c r="U16" s="0" t="n">
        <f aca="false">IF(B16="",0,IF(COUNTIFS($B$2:$B$51,B16,$D$2:$D$51,D16)&gt;1,1,0))</f>
        <v>0</v>
      </c>
      <c r="V16" s="0" t="str">
        <f aca="false">IF(D16="","",IFERROR(INDEX(Audit!$C$43:$C$49,MATCH(D16,Lists!$A$30:$A$36,0)),""))</f>
        <v/>
      </c>
      <c r="W16" s="0" t="n">
        <f aca="false">IF(AND(B16&lt;&gt;"",OR(F16="At cost",F16="TBC",AND(F16&lt;&gt;"If required",G16=11))),1,0)</f>
        <v>0</v>
      </c>
      <c r="X16" s="0" t="str">
        <f aca="false">IF(B16="","",IF(T16&lt;&gt;"","flag",IF(F16="","status",IF(AND(G16=0,OR(F16="Firm",F16="Estimate",AND(F16="If required",ISNUMBER(H16)))),"basis",IF(AND(OR(F16="Firm",F16="Estimate"),G16&lt;&gt;11,NOT(ISNUMBER(H16))),"rate",IF(AND(O16=0,G16=9,OR(F16="Firm",F16="Estimate"),ISNUMBER(H16)),"base",IF(OR(C16="",C16="Unclassified"),"unclass",IF(U16=1,"dup",IF(AND(Audit!$C$19="Yes",O16=1,NOT(ISNUMBER(Audit!$M$68))),"noagree","")))))))))</f>
        <v/>
      </c>
      <c r="Y16" s="0" t="n">
        <f aca="false">IF(ISNUMBER(Audit!$K$68),Audit!$K$68,0)</f>
        <v>0</v>
      </c>
      <c r="Z16" s="0" t="n">
        <f aca="false">IF(AND(F16="Firm",O16=1,ISNUMBER(J16)),L16*J16,0)</f>
        <v>0</v>
      </c>
      <c r="AE16" s="0" t="s">
        <v>309</v>
      </c>
      <c r="AF16" s="0" t="n">
        <f aca="false">SUMIFS($I$70:$I$470,$B$70:$B$470,1,$C$70:$C$470,"Error")</f>
        <v>0</v>
      </c>
      <c r="AH16" s="0" t="n">
        <v>15</v>
      </c>
      <c r="AI16" s="0" t="str">
        <f aca="false">IFERROR(SMALL($J$70:$J$470,AH16),"")</f>
        <v/>
      </c>
      <c r="AJ16" s="0" t="str">
        <f aca="false">IF(AI16="","",MATCH(AI16,$J$70:$J$470,0))</f>
        <v/>
      </c>
      <c r="AL16" s="0" t="n">
        <v>15</v>
      </c>
      <c r="AM16" s="0" t="str">
        <f aca="false">IFERROR(SMALL($K$70:$K$470,AL16),"")</f>
        <v/>
      </c>
      <c r="AN16" s="0" t="str">
        <f aca="false">IF(AM16="","",MATCH(AM16,$K$70:$K$470,0))</f>
        <v/>
      </c>
    </row>
    <row r="17" customFormat="false" ht="15" hidden="false" customHeight="false" outlineLevel="0" collapsed="false">
      <c r="A17" s="0" t="n">
        <v>16</v>
      </c>
      <c r="B17" s="0" t="str">
        <f aca="false">TRIM(Audit!$B$69)</f>
        <v/>
      </c>
      <c r="C17" s="0" t="str">
        <f aca="false">Audit!$C$69&amp;""</f>
        <v/>
      </c>
      <c r="D17" s="0" t="str">
        <f aca="false">IF(B17="","",IF(C17="","Other",IFERROR(INDEX(Lists!$C$4:$C$16,MATCH(C17,Lists!$A$4:$A$16,0)),"Other")))</f>
        <v/>
      </c>
      <c r="E17" s="0" t="str">
        <f aca="false">IF(B17="","",IF(C17="","Other",IFERROR(INDEX(Lists!$B$4:$B$16,MATCH(C17,Lists!$A$4:$A$16,0)),"Other")))</f>
        <v/>
      </c>
      <c r="F17" s="0" t="str">
        <f aca="false">Audit!$G$69&amp;""</f>
        <v/>
      </c>
      <c r="G17" s="0" t="n">
        <f aca="false">IFERROR(MATCH(Audit!$D$69,Lists!$E$4:$E$14,0),0)</f>
        <v>0</v>
      </c>
      <c r="H17" s="0" t="str">
        <f aca="false">IF(ISNUMBER(Audit!$E$69),Audit!$E$69,"")</f>
        <v/>
      </c>
      <c r="I17" s="0" t="n">
        <f aca="false">IF(TRIM(Audit!$F$69)="",Audit!$C$25,TRIM(Audit!$F$69))</f>
        <v>0</v>
      </c>
      <c r="J17" s="0" t="n">
        <f aca="false">IF(OR(I17=Audit!$C$25,I17=""),1,IF(AND(I17=Audit!$C$31,ISNUMBER(Audit!$J$31)),Audit!$J$31,IF(AND(I17=Audit!$C$32,ISNUMBER(Audit!$J$32)),Audit!$J$32,"")))</f>
        <v>1</v>
      </c>
      <c r="K17" s="0" t="str">
        <f aca="false">IF(B17="","",IF(ISNUMBER(Audit!$I$69),Audit!$I$69,IF(G17=0,"",CHOOSE(G17,IF(ISNUMBER(Audit!$C$26),Audit!$C$26,1),1,1,1,$AF$33,$AF$30,$AF$31,1,"",1,0))))</f>
        <v/>
      </c>
      <c r="L17" s="0" t="str">
        <f aca="false">IF(O17=1,ROUND(MAX(H17*K17,IF(ISNUMBER(Audit!$J$69),Audit!$J$69,0)),2),"")</f>
        <v/>
      </c>
      <c r="M17" s="0" t="str">
        <f aca="false">IF(O17=1,ROUND(L17*(1+Y17),2),"")</f>
        <v/>
      </c>
      <c r="N17" s="0" t="str">
        <f aca="false">IF(O17=1,IF(ISNUMBER(J17),ROUND(M17*J17,2),""),"")</f>
        <v/>
      </c>
      <c r="O17" s="0" t="n">
        <f aca="false">IF(AND(B17&lt;&gt;"",OR(F17="Firm",F17="Estimate",F17="If required"),ISNUMBER(H17),G17&gt;0,G17&lt;&gt;11,ISNUMBER(K17)),1,0)</f>
        <v>0</v>
      </c>
      <c r="P17" s="0" t="str">
        <f aca="false">IF(ISNUMBER(Audit!$L$69),Audit!$L$69,"")</f>
        <v/>
      </c>
      <c r="Q17" s="0" t="str">
        <f aca="false">IF(B17="","",IF(OR(F17="At cost",F17="TBC"),"Not priced ("&amp;F17&amp;")",IF(OR(F17="Included",F17="Excluded",F17="Not applicable"),F17,IF(F17="","Status missing",IF(AND(F17="If required",NOT(ISNUMBER(H17))),"Not priced (if required)",IF(G17=0,"Basis missing",IF(G17=11,"Not priced (at cost)",IF(NOT(ISNUMBER(H17)),"Rate missing",IF(AND(G17=9,NOT(ISNUMBER(Audit!$I$69))),"Base amount missing",IF(NOT(ISNUMBER(J17)),"Exchange rate missing",IF(NOT(ISNUMBER(P17)),"Calculated — Not Independently Verified",IF(ABS(R17)&lt;=Lists!$B$44,"Verified","Error - differs by "&amp;TEXT(R17,"#,##0.00")&amp;" "&amp;I17))))))))))))</f>
        <v/>
      </c>
      <c r="R17" s="0" t="str">
        <f aca="false">IF(AND(O17=1,ISNUMBER(P17)),IF(ABS(P17-L17)&lt;=ABS(P17-M17),P17-L17,P17-M17),"")</f>
        <v/>
      </c>
      <c r="S17" s="0" t="n">
        <f aca="false">IF(AND(O17=1,ISNUMBER(Audit!$M$69),ISNUMBER(J17)),IF(H17-Audit!$M$69&gt;0.005,ROUND((H17-Audit!$M$69)*K17*(1+Y17)*J17,2),0),0)</f>
        <v>0</v>
      </c>
      <c r="T17" s="0" t="str">
        <f aca="false">Audit!$N$69&amp;""</f>
        <v/>
      </c>
      <c r="U17" s="0" t="n">
        <f aca="false">IF(B17="",0,IF(COUNTIFS($B$2:$B$51,B17,$D$2:$D$51,D17)&gt;1,1,0))</f>
        <v>0</v>
      </c>
      <c r="V17" s="0" t="str">
        <f aca="false">IF(D17="","",IFERROR(INDEX(Audit!$C$43:$C$49,MATCH(D17,Lists!$A$30:$A$36,0)),""))</f>
        <v/>
      </c>
      <c r="W17" s="0" t="n">
        <f aca="false">IF(AND(B17&lt;&gt;"",OR(F17="At cost",F17="TBC",AND(F17&lt;&gt;"If required",G17=11))),1,0)</f>
        <v>0</v>
      </c>
      <c r="X17" s="0" t="str">
        <f aca="false">IF(B17="","",IF(T17&lt;&gt;"","flag",IF(F17="","status",IF(AND(G17=0,OR(F17="Firm",F17="Estimate",AND(F17="If required",ISNUMBER(H17)))),"basis",IF(AND(OR(F17="Firm",F17="Estimate"),G17&lt;&gt;11,NOT(ISNUMBER(H17))),"rate",IF(AND(O17=0,G17=9,OR(F17="Firm",F17="Estimate"),ISNUMBER(H17)),"base",IF(OR(C17="",C17="Unclassified"),"unclass",IF(U17=1,"dup",IF(AND(Audit!$C$19="Yes",O17=1,NOT(ISNUMBER(Audit!$M$69))),"noagree","")))))))))</f>
        <v/>
      </c>
      <c r="Y17" s="0" t="n">
        <f aca="false">IF(ISNUMBER(Audit!$K$69),Audit!$K$69,0)</f>
        <v>0</v>
      </c>
      <c r="Z17" s="0" t="n">
        <f aca="false">IF(AND(F17="Firm",O17=1,ISNUMBER(J17)),L17*J17,0)</f>
        <v>0</v>
      </c>
      <c r="AE17" s="0" t="s">
        <v>310</v>
      </c>
      <c r="AF17" s="0" t="n">
        <f aca="false">SUMIFS($I$70:$I$470,$B$70:$B$470,1,$C$70:$C$470,"Question")</f>
        <v>0</v>
      </c>
      <c r="AH17" s="0" t="n">
        <v>16</v>
      </c>
      <c r="AI17" s="0" t="str">
        <f aca="false">IFERROR(SMALL($J$70:$J$470,AH17),"")</f>
        <v/>
      </c>
      <c r="AJ17" s="0" t="str">
        <f aca="false">IF(AI17="","",MATCH(AI17,$J$70:$J$470,0))</f>
        <v/>
      </c>
    </row>
    <row r="18" customFormat="false" ht="15" hidden="false" customHeight="false" outlineLevel="0" collapsed="false">
      <c r="A18" s="0" t="n">
        <v>17</v>
      </c>
      <c r="B18" s="0" t="str">
        <f aca="false">TRIM(Audit!$B$70)</f>
        <v/>
      </c>
      <c r="C18" s="0" t="str">
        <f aca="false">Audit!$C$70&amp;""</f>
        <v/>
      </c>
      <c r="D18" s="0" t="str">
        <f aca="false">IF(B18="","",IF(C18="","Other",IFERROR(INDEX(Lists!$C$4:$C$16,MATCH(C18,Lists!$A$4:$A$16,0)),"Other")))</f>
        <v/>
      </c>
      <c r="E18" s="0" t="str">
        <f aca="false">IF(B18="","",IF(C18="","Other",IFERROR(INDEX(Lists!$B$4:$B$16,MATCH(C18,Lists!$A$4:$A$16,0)),"Other")))</f>
        <v/>
      </c>
      <c r="F18" s="0" t="str">
        <f aca="false">Audit!$G$70&amp;""</f>
        <v/>
      </c>
      <c r="G18" s="0" t="n">
        <f aca="false">IFERROR(MATCH(Audit!$D$70,Lists!$E$4:$E$14,0),0)</f>
        <v>0</v>
      </c>
      <c r="H18" s="0" t="str">
        <f aca="false">IF(ISNUMBER(Audit!$E$70),Audit!$E$70,"")</f>
        <v/>
      </c>
      <c r="I18" s="0" t="n">
        <f aca="false">IF(TRIM(Audit!$F$70)="",Audit!$C$25,TRIM(Audit!$F$70))</f>
        <v>0</v>
      </c>
      <c r="J18" s="0" t="n">
        <f aca="false">IF(OR(I18=Audit!$C$25,I18=""),1,IF(AND(I18=Audit!$C$31,ISNUMBER(Audit!$J$31)),Audit!$J$31,IF(AND(I18=Audit!$C$32,ISNUMBER(Audit!$J$32)),Audit!$J$32,"")))</f>
        <v>1</v>
      </c>
      <c r="K18" s="0" t="str">
        <f aca="false">IF(B18="","",IF(ISNUMBER(Audit!$I$70),Audit!$I$70,IF(G18=0,"",CHOOSE(G18,IF(ISNUMBER(Audit!$C$26),Audit!$C$26,1),1,1,1,$AF$33,$AF$30,$AF$31,1,"",1,0))))</f>
        <v/>
      </c>
      <c r="L18" s="0" t="str">
        <f aca="false">IF(O18=1,ROUND(MAX(H18*K18,IF(ISNUMBER(Audit!$J$70),Audit!$J$70,0)),2),"")</f>
        <v/>
      </c>
      <c r="M18" s="0" t="str">
        <f aca="false">IF(O18=1,ROUND(L18*(1+Y18),2),"")</f>
        <v/>
      </c>
      <c r="N18" s="0" t="str">
        <f aca="false">IF(O18=1,IF(ISNUMBER(J18),ROUND(M18*J18,2),""),"")</f>
        <v/>
      </c>
      <c r="O18" s="0" t="n">
        <f aca="false">IF(AND(B18&lt;&gt;"",OR(F18="Firm",F18="Estimate",F18="If required"),ISNUMBER(H18),G18&gt;0,G18&lt;&gt;11,ISNUMBER(K18)),1,0)</f>
        <v>0</v>
      </c>
      <c r="P18" s="0" t="str">
        <f aca="false">IF(ISNUMBER(Audit!$L$70),Audit!$L$70,"")</f>
        <v/>
      </c>
      <c r="Q18" s="0" t="str">
        <f aca="false">IF(B18="","",IF(OR(F18="At cost",F18="TBC"),"Not priced ("&amp;F18&amp;")",IF(OR(F18="Included",F18="Excluded",F18="Not applicable"),F18,IF(F18="","Status missing",IF(AND(F18="If required",NOT(ISNUMBER(H18))),"Not priced (if required)",IF(G18=0,"Basis missing",IF(G18=11,"Not priced (at cost)",IF(NOT(ISNUMBER(H18)),"Rate missing",IF(AND(G18=9,NOT(ISNUMBER(Audit!$I$70))),"Base amount missing",IF(NOT(ISNUMBER(J18)),"Exchange rate missing",IF(NOT(ISNUMBER(P18)),"Calculated — Not Independently Verified",IF(ABS(R18)&lt;=Lists!$B$44,"Verified","Error - differs by "&amp;TEXT(R18,"#,##0.00")&amp;" "&amp;I18))))))))))))</f>
        <v/>
      </c>
      <c r="R18" s="0" t="str">
        <f aca="false">IF(AND(O18=1,ISNUMBER(P18)),IF(ABS(P18-L18)&lt;=ABS(P18-M18),P18-L18,P18-M18),"")</f>
        <v/>
      </c>
      <c r="S18" s="0" t="n">
        <f aca="false">IF(AND(O18=1,ISNUMBER(Audit!$M$70),ISNUMBER(J18)),IF(H18-Audit!$M$70&gt;0.005,ROUND((H18-Audit!$M$70)*K18*(1+Y18)*J18,2),0),0)</f>
        <v>0</v>
      </c>
      <c r="T18" s="0" t="str">
        <f aca="false">Audit!$N$70&amp;""</f>
        <v/>
      </c>
      <c r="U18" s="0" t="n">
        <f aca="false">IF(B18="",0,IF(COUNTIFS($B$2:$B$51,B18,$D$2:$D$51,D18)&gt;1,1,0))</f>
        <v>0</v>
      </c>
      <c r="V18" s="0" t="str">
        <f aca="false">IF(D18="","",IFERROR(INDEX(Audit!$C$43:$C$49,MATCH(D18,Lists!$A$30:$A$36,0)),""))</f>
        <v/>
      </c>
      <c r="W18" s="0" t="n">
        <f aca="false">IF(AND(B18&lt;&gt;"",OR(F18="At cost",F18="TBC",AND(F18&lt;&gt;"If required",G18=11))),1,0)</f>
        <v>0</v>
      </c>
      <c r="X18" s="0" t="str">
        <f aca="false">IF(B18="","",IF(T18&lt;&gt;"","flag",IF(F18="","status",IF(AND(G18=0,OR(F18="Firm",F18="Estimate",AND(F18="If required",ISNUMBER(H18)))),"basis",IF(AND(OR(F18="Firm",F18="Estimate"),G18&lt;&gt;11,NOT(ISNUMBER(H18))),"rate",IF(AND(O18=0,G18=9,OR(F18="Firm",F18="Estimate"),ISNUMBER(H18)),"base",IF(OR(C18="",C18="Unclassified"),"unclass",IF(U18=1,"dup",IF(AND(Audit!$C$19="Yes",O18=1,NOT(ISNUMBER(Audit!$M$70))),"noagree","")))))))))</f>
        <v/>
      </c>
      <c r="Y18" s="0" t="n">
        <f aca="false">IF(ISNUMBER(Audit!$K$70),Audit!$K$70,0)</f>
        <v>0</v>
      </c>
      <c r="Z18" s="0" t="n">
        <f aca="false">IF(AND(F18="Firm",O18=1,ISNUMBER(J18)),L18*J18,0)</f>
        <v>0</v>
      </c>
      <c r="AE18" s="0" t="s">
        <v>311</v>
      </c>
      <c r="AF18" s="0" t="n">
        <f aca="false">COUNTIFS($B$55:$B$61,"Yes",$J$55:$J$61,"Not addressed")+COUNTIFS($B$55:$B$61,"Yes",$J$55:$J$61,"Excluded")+COUNTIFS($B$55:$B$61,"Yes",$J$55:$J$61,"Unpriced")</f>
        <v>0</v>
      </c>
      <c r="AH18" s="0" t="n">
        <v>17</v>
      </c>
      <c r="AI18" s="0" t="str">
        <f aca="false">IFERROR(SMALL($J$70:$J$470,AH18),"")</f>
        <v/>
      </c>
      <c r="AJ18" s="0" t="str">
        <f aca="false">IF(AI18="","",MATCH(AI18,$J$70:$J$470,0))</f>
        <v/>
      </c>
    </row>
    <row r="19" customFormat="false" ht="15" hidden="false" customHeight="false" outlineLevel="0" collapsed="false">
      <c r="A19" s="0" t="n">
        <v>18</v>
      </c>
      <c r="B19" s="0" t="str">
        <f aca="false">TRIM(Audit!$B$71)</f>
        <v/>
      </c>
      <c r="C19" s="0" t="str">
        <f aca="false">Audit!$C$71&amp;""</f>
        <v/>
      </c>
      <c r="D19" s="0" t="str">
        <f aca="false">IF(B19="","",IF(C19="","Other",IFERROR(INDEX(Lists!$C$4:$C$16,MATCH(C19,Lists!$A$4:$A$16,0)),"Other")))</f>
        <v/>
      </c>
      <c r="E19" s="0" t="str">
        <f aca="false">IF(B19="","",IF(C19="","Other",IFERROR(INDEX(Lists!$B$4:$B$16,MATCH(C19,Lists!$A$4:$A$16,0)),"Other")))</f>
        <v/>
      </c>
      <c r="F19" s="0" t="str">
        <f aca="false">Audit!$G$71&amp;""</f>
        <v/>
      </c>
      <c r="G19" s="0" t="n">
        <f aca="false">IFERROR(MATCH(Audit!$D$71,Lists!$E$4:$E$14,0),0)</f>
        <v>0</v>
      </c>
      <c r="H19" s="0" t="str">
        <f aca="false">IF(ISNUMBER(Audit!$E$71),Audit!$E$71,"")</f>
        <v/>
      </c>
      <c r="I19" s="0" t="n">
        <f aca="false">IF(TRIM(Audit!$F$71)="",Audit!$C$25,TRIM(Audit!$F$71))</f>
        <v>0</v>
      </c>
      <c r="J19" s="0" t="n">
        <f aca="false">IF(OR(I19=Audit!$C$25,I19=""),1,IF(AND(I19=Audit!$C$31,ISNUMBER(Audit!$J$31)),Audit!$J$31,IF(AND(I19=Audit!$C$32,ISNUMBER(Audit!$J$32)),Audit!$J$32,"")))</f>
        <v>1</v>
      </c>
      <c r="K19" s="0" t="str">
        <f aca="false">IF(B19="","",IF(ISNUMBER(Audit!$I$71),Audit!$I$71,IF(G19=0,"",CHOOSE(G19,IF(ISNUMBER(Audit!$C$26),Audit!$C$26,1),1,1,1,$AF$33,$AF$30,$AF$31,1,"",1,0))))</f>
        <v/>
      </c>
      <c r="L19" s="0" t="str">
        <f aca="false">IF(O19=1,ROUND(MAX(H19*K19,IF(ISNUMBER(Audit!$J$71),Audit!$J$71,0)),2),"")</f>
        <v/>
      </c>
      <c r="M19" s="0" t="str">
        <f aca="false">IF(O19=1,ROUND(L19*(1+Y19),2),"")</f>
        <v/>
      </c>
      <c r="N19" s="0" t="str">
        <f aca="false">IF(O19=1,IF(ISNUMBER(J19),ROUND(M19*J19,2),""),"")</f>
        <v/>
      </c>
      <c r="O19" s="0" t="n">
        <f aca="false">IF(AND(B19&lt;&gt;"",OR(F19="Firm",F19="Estimate",F19="If required"),ISNUMBER(H19),G19&gt;0,G19&lt;&gt;11,ISNUMBER(K19)),1,0)</f>
        <v>0</v>
      </c>
      <c r="P19" s="0" t="str">
        <f aca="false">IF(ISNUMBER(Audit!$L$71),Audit!$L$71,"")</f>
        <v/>
      </c>
      <c r="Q19" s="0" t="str">
        <f aca="false">IF(B19="","",IF(OR(F19="At cost",F19="TBC"),"Not priced ("&amp;F19&amp;")",IF(OR(F19="Included",F19="Excluded",F19="Not applicable"),F19,IF(F19="","Status missing",IF(AND(F19="If required",NOT(ISNUMBER(H19))),"Not priced (if required)",IF(G19=0,"Basis missing",IF(G19=11,"Not priced (at cost)",IF(NOT(ISNUMBER(H19)),"Rate missing",IF(AND(G19=9,NOT(ISNUMBER(Audit!$I$71))),"Base amount missing",IF(NOT(ISNUMBER(J19)),"Exchange rate missing",IF(NOT(ISNUMBER(P19)),"Calculated — Not Independently Verified",IF(ABS(R19)&lt;=Lists!$B$44,"Verified","Error - differs by "&amp;TEXT(R19,"#,##0.00")&amp;" "&amp;I19))))))))))))</f>
        <v/>
      </c>
      <c r="R19" s="0" t="str">
        <f aca="false">IF(AND(O19=1,ISNUMBER(P19)),IF(ABS(P19-L19)&lt;=ABS(P19-M19),P19-L19,P19-M19),"")</f>
        <v/>
      </c>
      <c r="S19" s="0" t="n">
        <f aca="false">IF(AND(O19=1,ISNUMBER(Audit!$M$71),ISNUMBER(J19)),IF(H19-Audit!$M$71&gt;0.005,ROUND((H19-Audit!$M$71)*K19*(1+Y19)*J19,2),0),0)</f>
        <v>0</v>
      </c>
      <c r="T19" s="0" t="str">
        <f aca="false">Audit!$N$71&amp;""</f>
        <v/>
      </c>
      <c r="U19" s="0" t="n">
        <f aca="false">IF(B19="",0,IF(COUNTIFS($B$2:$B$51,B19,$D$2:$D$51,D19)&gt;1,1,0))</f>
        <v>0</v>
      </c>
      <c r="V19" s="0" t="str">
        <f aca="false">IF(D19="","",IFERROR(INDEX(Audit!$C$43:$C$49,MATCH(D19,Lists!$A$30:$A$36,0)),""))</f>
        <v/>
      </c>
      <c r="W19" s="0" t="n">
        <f aca="false">IF(AND(B19&lt;&gt;"",OR(F19="At cost",F19="TBC",AND(F19&lt;&gt;"If required",G19=11))),1,0)</f>
        <v>0</v>
      </c>
      <c r="X19" s="0" t="str">
        <f aca="false">IF(B19="","",IF(T19&lt;&gt;"","flag",IF(F19="","status",IF(AND(G19=0,OR(F19="Firm",F19="Estimate",AND(F19="If required",ISNUMBER(H19)))),"basis",IF(AND(OR(F19="Firm",F19="Estimate"),G19&lt;&gt;11,NOT(ISNUMBER(H19))),"rate",IF(AND(O19=0,G19=9,OR(F19="Firm",F19="Estimate"),ISNUMBER(H19)),"base",IF(OR(C19="",C19="Unclassified"),"unclass",IF(U19=1,"dup",IF(AND(Audit!$C$19="Yes",O19=1,NOT(ISNUMBER(Audit!$M$71))),"noagree","")))))))))</f>
        <v/>
      </c>
      <c r="Y19" s="0" t="n">
        <f aca="false">IF(ISNUMBER(Audit!$K$71),Audit!$K$71,0)</f>
        <v>0</v>
      </c>
      <c r="Z19" s="0" t="n">
        <f aca="false">IF(AND(F19="Firm",O19=1,ISNUMBER(J19)),L19*J19,0)</f>
        <v>0</v>
      </c>
      <c r="AE19" s="0" t="s">
        <v>312</v>
      </c>
      <c r="AF19" s="0" t="n">
        <f aca="false">IF(AND(AF7&gt;0,AF18=0,AF12=0,COUNTIFS($F$2:$F$51,"If required")=0,AF15=0,AF9=0),1,0)</f>
        <v>0</v>
      </c>
      <c r="AH19" s="0" t="n">
        <v>18</v>
      </c>
      <c r="AI19" s="0" t="str">
        <f aca="false">IFERROR(SMALL($J$70:$J$470,AH19),"")</f>
        <v/>
      </c>
      <c r="AJ19" s="0" t="str">
        <f aca="false">IF(AI19="","",MATCH(AI19,$J$70:$J$470,0))</f>
        <v/>
      </c>
    </row>
    <row r="20" customFormat="false" ht="15" hidden="false" customHeight="false" outlineLevel="0" collapsed="false">
      <c r="A20" s="0" t="n">
        <v>19</v>
      </c>
      <c r="B20" s="0" t="str">
        <f aca="false">TRIM(Audit!$B$72)</f>
        <v/>
      </c>
      <c r="C20" s="0" t="str">
        <f aca="false">Audit!$C$72&amp;""</f>
        <v/>
      </c>
      <c r="D20" s="0" t="str">
        <f aca="false">IF(B20="","",IF(C20="","Other",IFERROR(INDEX(Lists!$C$4:$C$16,MATCH(C20,Lists!$A$4:$A$16,0)),"Other")))</f>
        <v/>
      </c>
      <c r="E20" s="0" t="str">
        <f aca="false">IF(B20="","",IF(C20="","Other",IFERROR(INDEX(Lists!$B$4:$B$16,MATCH(C20,Lists!$A$4:$A$16,0)),"Other")))</f>
        <v/>
      </c>
      <c r="F20" s="0" t="str">
        <f aca="false">Audit!$G$72&amp;""</f>
        <v/>
      </c>
      <c r="G20" s="0" t="n">
        <f aca="false">IFERROR(MATCH(Audit!$D$72,Lists!$E$4:$E$14,0),0)</f>
        <v>0</v>
      </c>
      <c r="H20" s="0" t="str">
        <f aca="false">IF(ISNUMBER(Audit!$E$72),Audit!$E$72,"")</f>
        <v/>
      </c>
      <c r="I20" s="0" t="n">
        <f aca="false">IF(TRIM(Audit!$F$72)="",Audit!$C$25,TRIM(Audit!$F$72))</f>
        <v>0</v>
      </c>
      <c r="J20" s="0" t="n">
        <f aca="false">IF(OR(I20=Audit!$C$25,I20=""),1,IF(AND(I20=Audit!$C$31,ISNUMBER(Audit!$J$31)),Audit!$J$31,IF(AND(I20=Audit!$C$32,ISNUMBER(Audit!$J$32)),Audit!$J$32,"")))</f>
        <v>1</v>
      </c>
      <c r="K20" s="0" t="str">
        <f aca="false">IF(B20="","",IF(ISNUMBER(Audit!$I$72),Audit!$I$72,IF(G20=0,"",CHOOSE(G20,IF(ISNUMBER(Audit!$C$26),Audit!$C$26,1),1,1,1,$AF$33,$AF$30,$AF$31,1,"",1,0))))</f>
        <v/>
      </c>
      <c r="L20" s="0" t="str">
        <f aca="false">IF(O20=1,ROUND(MAX(H20*K20,IF(ISNUMBER(Audit!$J$72),Audit!$J$72,0)),2),"")</f>
        <v/>
      </c>
      <c r="M20" s="0" t="str">
        <f aca="false">IF(O20=1,ROUND(L20*(1+Y20),2),"")</f>
        <v/>
      </c>
      <c r="N20" s="0" t="str">
        <f aca="false">IF(O20=1,IF(ISNUMBER(J20),ROUND(M20*J20,2),""),"")</f>
        <v/>
      </c>
      <c r="O20" s="0" t="n">
        <f aca="false">IF(AND(B20&lt;&gt;"",OR(F20="Firm",F20="Estimate",F20="If required"),ISNUMBER(H20),G20&gt;0,G20&lt;&gt;11,ISNUMBER(K20)),1,0)</f>
        <v>0</v>
      </c>
      <c r="P20" s="0" t="str">
        <f aca="false">IF(ISNUMBER(Audit!$L$72),Audit!$L$72,"")</f>
        <v/>
      </c>
      <c r="Q20" s="0" t="str">
        <f aca="false">IF(B20="","",IF(OR(F20="At cost",F20="TBC"),"Not priced ("&amp;F20&amp;")",IF(OR(F20="Included",F20="Excluded",F20="Not applicable"),F20,IF(F20="","Status missing",IF(AND(F20="If required",NOT(ISNUMBER(H20))),"Not priced (if required)",IF(G20=0,"Basis missing",IF(G20=11,"Not priced (at cost)",IF(NOT(ISNUMBER(H20)),"Rate missing",IF(AND(G20=9,NOT(ISNUMBER(Audit!$I$72))),"Base amount missing",IF(NOT(ISNUMBER(J20)),"Exchange rate missing",IF(NOT(ISNUMBER(P20)),"Calculated — Not Independently Verified",IF(ABS(R20)&lt;=Lists!$B$44,"Verified","Error - differs by "&amp;TEXT(R20,"#,##0.00")&amp;" "&amp;I20))))))))))))</f>
        <v/>
      </c>
      <c r="R20" s="0" t="str">
        <f aca="false">IF(AND(O20=1,ISNUMBER(P20)),IF(ABS(P20-L20)&lt;=ABS(P20-M20),P20-L20,P20-M20),"")</f>
        <v/>
      </c>
      <c r="S20" s="0" t="n">
        <f aca="false">IF(AND(O20=1,ISNUMBER(Audit!$M$72),ISNUMBER(J20)),IF(H20-Audit!$M$72&gt;0.005,ROUND((H20-Audit!$M$72)*K20*(1+Y20)*J20,2),0),0)</f>
        <v>0</v>
      </c>
      <c r="T20" s="0" t="str">
        <f aca="false">Audit!$N$72&amp;""</f>
        <v/>
      </c>
      <c r="U20" s="0" t="n">
        <f aca="false">IF(B20="",0,IF(COUNTIFS($B$2:$B$51,B20,$D$2:$D$51,D20)&gt;1,1,0))</f>
        <v>0</v>
      </c>
      <c r="V20" s="0" t="str">
        <f aca="false">IF(D20="","",IFERROR(INDEX(Audit!$C$43:$C$49,MATCH(D20,Lists!$A$30:$A$36,0)),""))</f>
        <v/>
      </c>
      <c r="W20" s="0" t="n">
        <f aca="false">IF(AND(B20&lt;&gt;"",OR(F20="At cost",F20="TBC",AND(F20&lt;&gt;"If required",G20=11))),1,0)</f>
        <v>0</v>
      </c>
      <c r="X20" s="0" t="str">
        <f aca="false">IF(B20="","",IF(T20&lt;&gt;"","flag",IF(F20="","status",IF(AND(G20=0,OR(F20="Firm",F20="Estimate",AND(F20="If required",ISNUMBER(H20)))),"basis",IF(AND(OR(F20="Firm",F20="Estimate"),G20&lt;&gt;11,NOT(ISNUMBER(H20))),"rate",IF(AND(O20=0,G20=9,OR(F20="Firm",F20="Estimate"),ISNUMBER(H20)),"base",IF(OR(C20="",C20="Unclassified"),"unclass",IF(U20=1,"dup",IF(AND(Audit!$C$19="Yes",O20=1,NOT(ISNUMBER(Audit!$M$72))),"noagree","")))))))))</f>
        <v/>
      </c>
      <c r="Y20" s="0" t="n">
        <f aca="false">IF(ISNUMBER(Audit!$K$72),Audit!$K$72,0)</f>
        <v>0</v>
      </c>
      <c r="Z20" s="0" t="n">
        <f aca="false">IF(AND(F20="Firm",O20=1,ISNUMBER(J20)),L20*J20,0)</f>
        <v>0</v>
      </c>
      <c r="AE20" s="0" t="s">
        <v>313</v>
      </c>
      <c r="AF20" s="0" t="str">
        <f aca="false">IF(AF19=1,"All-In Firm Total (as quoted)","Known Firm Charges — Not All-In")&amp;IF(AF3&gt;0," — Subject to Correction","")</f>
        <v>Known Firm Charges — Not All-In</v>
      </c>
      <c r="AH20" s="0" t="n">
        <v>19</v>
      </c>
      <c r="AI20" s="0" t="str">
        <f aca="false">IFERROR(SMALL($J$70:$J$470,AH20),"")</f>
        <v/>
      </c>
      <c r="AJ20" s="0" t="str">
        <f aca="false">IF(AI20="","",MATCH(AI20,$J$70:$J$470,0))</f>
        <v/>
      </c>
    </row>
    <row r="21" customFormat="false" ht="15" hidden="false" customHeight="false" outlineLevel="0" collapsed="false">
      <c r="A21" s="0" t="n">
        <v>20</v>
      </c>
      <c r="B21" s="0" t="str">
        <f aca="false">TRIM(Audit!$B$73)</f>
        <v/>
      </c>
      <c r="C21" s="0" t="str">
        <f aca="false">Audit!$C$73&amp;""</f>
        <v/>
      </c>
      <c r="D21" s="0" t="str">
        <f aca="false">IF(B21="","",IF(C21="","Other",IFERROR(INDEX(Lists!$C$4:$C$16,MATCH(C21,Lists!$A$4:$A$16,0)),"Other")))</f>
        <v/>
      </c>
      <c r="E21" s="0" t="str">
        <f aca="false">IF(B21="","",IF(C21="","Other",IFERROR(INDEX(Lists!$B$4:$B$16,MATCH(C21,Lists!$A$4:$A$16,0)),"Other")))</f>
        <v/>
      </c>
      <c r="F21" s="0" t="str">
        <f aca="false">Audit!$G$73&amp;""</f>
        <v/>
      </c>
      <c r="G21" s="0" t="n">
        <f aca="false">IFERROR(MATCH(Audit!$D$73,Lists!$E$4:$E$14,0),0)</f>
        <v>0</v>
      </c>
      <c r="H21" s="0" t="str">
        <f aca="false">IF(ISNUMBER(Audit!$E$73),Audit!$E$73,"")</f>
        <v/>
      </c>
      <c r="I21" s="0" t="n">
        <f aca="false">IF(TRIM(Audit!$F$73)="",Audit!$C$25,TRIM(Audit!$F$73))</f>
        <v>0</v>
      </c>
      <c r="J21" s="0" t="n">
        <f aca="false">IF(OR(I21=Audit!$C$25,I21=""),1,IF(AND(I21=Audit!$C$31,ISNUMBER(Audit!$J$31)),Audit!$J$31,IF(AND(I21=Audit!$C$32,ISNUMBER(Audit!$J$32)),Audit!$J$32,"")))</f>
        <v>1</v>
      </c>
      <c r="K21" s="0" t="str">
        <f aca="false">IF(B21="","",IF(ISNUMBER(Audit!$I$73),Audit!$I$73,IF(G21=0,"",CHOOSE(G21,IF(ISNUMBER(Audit!$C$26),Audit!$C$26,1),1,1,1,$AF$33,$AF$30,$AF$31,1,"",1,0))))</f>
        <v/>
      </c>
      <c r="L21" s="0" t="str">
        <f aca="false">IF(O21=1,ROUND(MAX(H21*K21,IF(ISNUMBER(Audit!$J$73),Audit!$J$73,0)),2),"")</f>
        <v/>
      </c>
      <c r="M21" s="0" t="str">
        <f aca="false">IF(O21=1,ROUND(L21*(1+Y21),2),"")</f>
        <v/>
      </c>
      <c r="N21" s="0" t="str">
        <f aca="false">IF(O21=1,IF(ISNUMBER(J21),ROUND(M21*J21,2),""),"")</f>
        <v/>
      </c>
      <c r="O21" s="0" t="n">
        <f aca="false">IF(AND(B21&lt;&gt;"",OR(F21="Firm",F21="Estimate",F21="If required"),ISNUMBER(H21),G21&gt;0,G21&lt;&gt;11,ISNUMBER(K21)),1,0)</f>
        <v>0</v>
      </c>
      <c r="P21" s="0" t="str">
        <f aca="false">IF(ISNUMBER(Audit!$L$73),Audit!$L$73,"")</f>
        <v/>
      </c>
      <c r="Q21" s="0" t="str">
        <f aca="false">IF(B21="","",IF(OR(F21="At cost",F21="TBC"),"Not priced ("&amp;F21&amp;")",IF(OR(F21="Included",F21="Excluded",F21="Not applicable"),F21,IF(F21="","Status missing",IF(AND(F21="If required",NOT(ISNUMBER(H21))),"Not priced (if required)",IF(G21=0,"Basis missing",IF(G21=11,"Not priced (at cost)",IF(NOT(ISNUMBER(H21)),"Rate missing",IF(AND(G21=9,NOT(ISNUMBER(Audit!$I$73))),"Base amount missing",IF(NOT(ISNUMBER(J21)),"Exchange rate missing",IF(NOT(ISNUMBER(P21)),"Calculated — Not Independently Verified",IF(ABS(R21)&lt;=Lists!$B$44,"Verified","Error - differs by "&amp;TEXT(R21,"#,##0.00")&amp;" "&amp;I21))))))))))))</f>
        <v/>
      </c>
      <c r="R21" s="0" t="str">
        <f aca="false">IF(AND(O21=1,ISNUMBER(P21)),IF(ABS(P21-L21)&lt;=ABS(P21-M21),P21-L21,P21-M21),"")</f>
        <v/>
      </c>
      <c r="S21" s="0" t="n">
        <f aca="false">IF(AND(O21=1,ISNUMBER(Audit!$M$73),ISNUMBER(J21)),IF(H21-Audit!$M$73&gt;0.005,ROUND((H21-Audit!$M$73)*K21*(1+Y21)*J21,2),0),0)</f>
        <v>0</v>
      </c>
      <c r="T21" s="0" t="str">
        <f aca="false">Audit!$N$73&amp;""</f>
        <v/>
      </c>
      <c r="U21" s="0" t="n">
        <f aca="false">IF(B21="",0,IF(COUNTIFS($B$2:$B$51,B21,$D$2:$D$51,D21)&gt;1,1,0))</f>
        <v>0</v>
      </c>
      <c r="V21" s="0" t="str">
        <f aca="false">IF(D21="","",IFERROR(INDEX(Audit!$C$43:$C$49,MATCH(D21,Lists!$A$30:$A$36,0)),""))</f>
        <v/>
      </c>
      <c r="W21" s="0" t="n">
        <f aca="false">IF(AND(B21&lt;&gt;"",OR(F21="At cost",F21="TBC",AND(F21&lt;&gt;"If required",G21=11))),1,0)</f>
        <v>0</v>
      </c>
      <c r="X21" s="0" t="str">
        <f aca="false">IF(B21="","",IF(T21&lt;&gt;"","flag",IF(F21="","status",IF(AND(G21=0,OR(F21="Firm",F21="Estimate",AND(F21="If required",ISNUMBER(H21)))),"basis",IF(AND(OR(F21="Firm",F21="Estimate"),G21&lt;&gt;11,NOT(ISNUMBER(H21))),"rate",IF(AND(O21=0,G21=9,OR(F21="Firm",F21="Estimate"),ISNUMBER(H21)),"base",IF(OR(C21="",C21="Unclassified"),"unclass",IF(U21=1,"dup",IF(AND(Audit!$C$19="Yes",O21=1,NOT(ISNUMBER(Audit!$M$73))),"noagree","")))))))))</f>
        <v/>
      </c>
      <c r="Y21" s="0" t="n">
        <f aca="false">IF(ISNUMBER(Audit!$K$73),Audit!$K$73,0)</f>
        <v>0</v>
      </c>
      <c r="Z21" s="0" t="n">
        <f aca="false">IF(AND(F21="Firm",O21=1,ISNUMBER(J21)),L21*J21,0)</f>
        <v>0</v>
      </c>
      <c r="AE21" s="0" t="s">
        <v>314</v>
      </c>
      <c r="AF21" s="0" t="str">
        <f aca="false">IF(AF2="Not started","Enter shipment, quotation and charge details to start the audit.",IF(AF2="Insufficient Information","The quotation cannot be audited properly yet: see the questions about missing documents or breakdown.",IF(AF2="Corrections Required",AF3&amp;" confirmed error(s) must be corrected by the forwarder"&amp;IF(AF4&gt;0," and "&amp;AF4&amp;" question(s) answered","")&amp;" before the client proceeds.",IF(AF2="Needs Clarification","No confirmed errors, but "&amp;AF4&amp;" question(s) and "&amp;AF5&amp;" risk(s) remain open before the client proceeds.","All checks passed on the information provided. No unpriced, estimated or excluded requested costs remain."))))</f>
        <v>Enter shipment, quotation and charge details to start the audit.</v>
      </c>
      <c r="AH21" s="0" t="n">
        <v>20</v>
      </c>
      <c r="AI21" s="0" t="str">
        <f aca="false">IFERROR(SMALL($J$70:$J$470,AH21),"")</f>
        <v/>
      </c>
      <c r="AJ21" s="0" t="str">
        <f aca="false">IF(AI21="","",MATCH(AI21,$J$70:$J$470,0))</f>
        <v/>
      </c>
    </row>
    <row r="22" customFormat="false" ht="15" hidden="false" customHeight="false" outlineLevel="0" collapsed="false">
      <c r="A22" s="0" t="n">
        <v>21</v>
      </c>
      <c r="B22" s="0" t="str">
        <f aca="false">TRIM(Audit!$B$74)</f>
        <v/>
      </c>
      <c r="C22" s="0" t="str">
        <f aca="false">Audit!$C$74&amp;""</f>
        <v/>
      </c>
      <c r="D22" s="0" t="str">
        <f aca="false">IF(B22="","",IF(C22="","Other",IFERROR(INDEX(Lists!$C$4:$C$16,MATCH(C22,Lists!$A$4:$A$16,0)),"Other")))</f>
        <v/>
      </c>
      <c r="E22" s="0" t="str">
        <f aca="false">IF(B22="","",IF(C22="","Other",IFERROR(INDEX(Lists!$B$4:$B$16,MATCH(C22,Lists!$A$4:$A$16,0)),"Other")))</f>
        <v/>
      </c>
      <c r="F22" s="0" t="str">
        <f aca="false">Audit!$G$74&amp;""</f>
        <v/>
      </c>
      <c r="G22" s="0" t="n">
        <f aca="false">IFERROR(MATCH(Audit!$D$74,Lists!$E$4:$E$14,0),0)</f>
        <v>0</v>
      </c>
      <c r="H22" s="0" t="str">
        <f aca="false">IF(ISNUMBER(Audit!$E$74),Audit!$E$74,"")</f>
        <v/>
      </c>
      <c r="I22" s="0" t="n">
        <f aca="false">IF(TRIM(Audit!$F$74)="",Audit!$C$25,TRIM(Audit!$F$74))</f>
        <v>0</v>
      </c>
      <c r="J22" s="0" t="n">
        <f aca="false">IF(OR(I22=Audit!$C$25,I22=""),1,IF(AND(I22=Audit!$C$31,ISNUMBER(Audit!$J$31)),Audit!$J$31,IF(AND(I22=Audit!$C$32,ISNUMBER(Audit!$J$32)),Audit!$J$32,"")))</f>
        <v>1</v>
      </c>
      <c r="K22" s="0" t="str">
        <f aca="false">IF(B22="","",IF(ISNUMBER(Audit!$I$74),Audit!$I$74,IF(G22=0,"",CHOOSE(G22,IF(ISNUMBER(Audit!$C$26),Audit!$C$26,1),1,1,1,$AF$33,$AF$30,$AF$31,1,"",1,0))))</f>
        <v/>
      </c>
      <c r="L22" s="0" t="str">
        <f aca="false">IF(O22=1,ROUND(MAX(H22*K22,IF(ISNUMBER(Audit!$J$74),Audit!$J$74,0)),2),"")</f>
        <v/>
      </c>
      <c r="M22" s="0" t="str">
        <f aca="false">IF(O22=1,ROUND(L22*(1+Y22),2),"")</f>
        <v/>
      </c>
      <c r="N22" s="0" t="str">
        <f aca="false">IF(O22=1,IF(ISNUMBER(J22),ROUND(M22*J22,2),""),"")</f>
        <v/>
      </c>
      <c r="O22" s="0" t="n">
        <f aca="false">IF(AND(B22&lt;&gt;"",OR(F22="Firm",F22="Estimate",F22="If required"),ISNUMBER(H22),G22&gt;0,G22&lt;&gt;11,ISNUMBER(K22)),1,0)</f>
        <v>0</v>
      </c>
      <c r="P22" s="0" t="str">
        <f aca="false">IF(ISNUMBER(Audit!$L$74),Audit!$L$74,"")</f>
        <v/>
      </c>
      <c r="Q22" s="0" t="str">
        <f aca="false">IF(B22="","",IF(OR(F22="At cost",F22="TBC"),"Not priced ("&amp;F22&amp;")",IF(OR(F22="Included",F22="Excluded",F22="Not applicable"),F22,IF(F22="","Status missing",IF(AND(F22="If required",NOT(ISNUMBER(H22))),"Not priced (if required)",IF(G22=0,"Basis missing",IF(G22=11,"Not priced (at cost)",IF(NOT(ISNUMBER(H22)),"Rate missing",IF(AND(G22=9,NOT(ISNUMBER(Audit!$I$74))),"Base amount missing",IF(NOT(ISNUMBER(J22)),"Exchange rate missing",IF(NOT(ISNUMBER(P22)),"Calculated — Not Independently Verified",IF(ABS(R22)&lt;=Lists!$B$44,"Verified","Error - differs by "&amp;TEXT(R22,"#,##0.00")&amp;" "&amp;I22))))))))))))</f>
        <v/>
      </c>
      <c r="R22" s="0" t="str">
        <f aca="false">IF(AND(O22=1,ISNUMBER(P22)),IF(ABS(P22-L22)&lt;=ABS(P22-M22),P22-L22,P22-M22),"")</f>
        <v/>
      </c>
      <c r="S22" s="0" t="n">
        <f aca="false">IF(AND(O22=1,ISNUMBER(Audit!$M$74),ISNUMBER(J22)),IF(H22-Audit!$M$74&gt;0.005,ROUND((H22-Audit!$M$74)*K22*(1+Y22)*J22,2),0),0)</f>
        <v>0</v>
      </c>
      <c r="T22" s="0" t="str">
        <f aca="false">Audit!$N$74&amp;""</f>
        <v/>
      </c>
      <c r="U22" s="0" t="n">
        <f aca="false">IF(B22="",0,IF(COUNTIFS($B$2:$B$51,B22,$D$2:$D$51,D22)&gt;1,1,0))</f>
        <v>0</v>
      </c>
      <c r="V22" s="0" t="str">
        <f aca="false">IF(D22="","",IFERROR(INDEX(Audit!$C$43:$C$49,MATCH(D22,Lists!$A$30:$A$36,0)),""))</f>
        <v/>
      </c>
      <c r="W22" s="0" t="n">
        <f aca="false">IF(AND(B22&lt;&gt;"",OR(F22="At cost",F22="TBC",AND(F22&lt;&gt;"If required",G22=11))),1,0)</f>
        <v>0</v>
      </c>
      <c r="X22" s="0" t="str">
        <f aca="false">IF(B22="","",IF(T22&lt;&gt;"","flag",IF(F22="","status",IF(AND(G22=0,OR(F22="Firm",F22="Estimate",AND(F22="If required",ISNUMBER(H22)))),"basis",IF(AND(OR(F22="Firm",F22="Estimate"),G22&lt;&gt;11,NOT(ISNUMBER(H22))),"rate",IF(AND(O22=0,G22=9,OR(F22="Firm",F22="Estimate"),ISNUMBER(H22)),"base",IF(OR(C22="",C22="Unclassified"),"unclass",IF(U22=1,"dup",IF(AND(Audit!$C$19="Yes",O22=1,NOT(ISNUMBER(Audit!$M$74))),"noagree","")))))))))</f>
        <v/>
      </c>
      <c r="Y22" s="0" t="n">
        <f aca="false">IF(ISNUMBER(Audit!$K$74),Audit!$K$74,0)</f>
        <v>0</v>
      </c>
      <c r="Z22" s="0" t="n">
        <f aca="false">IF(AND(F22="Firm",O22=1,ISNUMBER(J22)),L22*J22,0)</f>
        <v>0</v>
      </c>
      <c r="AE22" s="0" t="s">
        <v>315</v>
      </c>
      <c r="AF22" s="0" t="str">
        <f aca="false">IF(AF3&gt;0,"Subject to correction: "&amp;AF3&amp;" confirmed error(s) open; this figure is the quotation as submitted, not a corrected amount. ","")&amp;IF(AF19=1,"Every requested service is firmly priced.","Not all-in: "&amp;IF(AF18&gt;0,AF18&amp;" requested service(s) excluded, unpriced or not addressed; ","")&amp;IF(AF12&gt;0,"estimates; ","")&amp;IF(COUNTIFS($F$2:$F$51,"If required")&gt;0,"conditional charges; ","")&amp;IF(AF15&gt;0,"at-cost/TBC items; ","")&amp;IF(AF9&gt;0,"missing exchange rates; ",""))</f>
        <v>Not all-in: </v>
      </c>
      <c r="AH22" s="0" t="n">
        <v>21</v>
      </c>
      <c r="AI22" s="0" t="str">
        <f aca="false">IFERROR(SMALL($J$70:$J$470,AH22),"")</f>
        <v/>
      </c>
      <c r="AJ22" s="0" t="str">
        <f aca="false">IF(AI22="","",MATCH(AI22,$J$70:$J$470,0))</f>
        <v/>
      </c>
    </row>
    <row r="23" customFormat="false" ht="15" hidden="false" customHeight="false" outlineLevel="0" collapsed="false">
      <c r="A23" s="0" t="n">
        <v>22</v>
      </c>
      <c r="B23" s="0" t="str">
        <f aca="false">TRIM(Audit!$B$75)</f>
        <v/>
      </c>
      <c r="C23" s="0" t="str">
        <f aca="false">Audit!$C$75&amp;""</f>
        <v/>
      </c>
      <c r="D23" s="0" t="str">
        <f aca="false">IF(B23="","",IF(C23="","Other",IFERROR(INDEX(Lists!$C$4:$C$16,MATCH(C23,Lists!$A$4:$A$16,0)),"Other")))</f>
        <v/>
      </c>
      <c r="E23" s="0" t="str">
        <f aca="false">IF(B23="","",IF(C23="","Other",IFERROR(INDEX(Lists!$B$4:$B$16,MATCH(C23,Lists!$A$4:$A$16,0)),"Other")))</f>
        <v/>
      </c>
      <c r="F23" s="0" t="str">
        <f aca="false">Audit!$G$75&amp;""</f>
        <v/>
      </c>
      <c r="G23" s="0" t="n">
        <f aca="false">IFERROR(MATCH(Audit!$D$75,Lists!$E$4:$E$14,0),0)</f>
        <v>0</v>
      </c>
      <c r="H23" s="0" t="str">
        <f aca="false">IF(ISNUMBER(Audit!$E$75),Audit!$E$75,"")</f>
        <v/>
      </c>
      <c r="I23" s="0" t="n">
        <f aca="false">IF(TRIM(Audit!$F$75)="",Audit!$C$25,TRIM(Audit!$F$75))</f>
        <v>0</v>
      </c>
      <c r="J23" s="0" t="n">
        <f aca="false">IF(OR(I23=Audit!$C$25,I23=""),1,IF(AND(I23=Audit!$C$31,ISNUMBER(Audit!$J$31)),Audit!$J$31,IF(AND(I23=Audit!$C$32,ISNUMBER(Audit!$J$32)),Audit!$J$32,"")))</f>
        <v>1</v>
      </c>
      <c r="K23" s="0" t="str">
        <f aca="false">IF(B23="","",IF(ISNUMBER(Audit!$I$75),Audit!$I$75,IF(G23=0,"",CHOOSE(G23,IF(ISNUMBER(Audit!$C$26),Audit!$C$26,1),1,1,1,$AF$33,$AF$30,$AF$31,1,"",1,0))))</f>
        <v/>
      </c>
      <c r="L23" s="0" t="str">
        <f aca="false">IF(O23=1,ROUND(MAX(H23*K23,IF(ISNUMBER(Audit!$J$75),Audit!$J$75,0)),2),"")</f>
        <v/>
      </c>
      <c r="M23" s="0" t="str">
        <f aca="false">IF(O23=1,ROUND(L23*(1+Y23),2),"")</f>
        <v/>
      </c>
      <c r="N23" s="0" t="str">
        <f aca="false">IF(O23=1,IF(ISNUMBER(J23),ROUND(M23*J23,2),""),"")</f>
        <v/>
      </c>
      <c r="O23" s="0" t="n">
        <f aca="false">IF(AND(B23&lt;&gt;"",OR(F23="Firm",F23="Estimate",F23="If required"),ISNUMBER(H23),G23&gt;0,G23&lt;&gt;11,ISNUMBER(K23)),1,0)</f>
        <v>0</v>
      </c>
      <c r="P23" s="0" t="str">
        <f aca="false">IF(ISNUMBER(Audit!$L$75),Audit!$L$75,"")</f>
        <v/>
      </c>
      <c r="Q23" s="0" t="str">
        <f aca="false">IF(B23="","",IF(OR(F23="At cost",F23="TBC"),"Not priced ("&amp;F23&amp;")",IF(OR(F23="Included",F23="Excluded",F23="Not applicable"),F23,IF(F23="","Status missing",IF(AND(F23="If required",NOT(ISNUMBER(H23))),"Not priced (if required)",IF(G23=0,"Basis missing",IF(G23=11,"Not priced (at cost)",IF(NOT(ISNUMBER(H23)),"Rate missing",IF(AND(G23=9,NOT(ISNUMBER(Audit!$I$75))),"Base amount missing",IF(NOT(ISNUMBER(J23)),"Exchange rate missing",IF(NOT(ISNUMBER(P23)),"Calculated — Not Independently Verified",IF(ABS(R23)&lt;=Lists!$B$44,"Verified","Error - differs by "&amp;TEXT(R23,"#,##0.00")&amp;" "&amp;I23))))))))))))</f>
        <v/>
      </c>
      <c r="R23" s="0" t="str">
        <f aca="false">IF(AND(O23=1,ISNUMBER(P23)),IF(ABS(P23-L23)&lt;=ABS(P23-M23),P23-L23,P23-M23),"")</f>
        <v/>
      </c>
      <c r="S23" s="0" t="n">
        <f aca="false">IF(AND(O23=1,ISNUMBER(Audit!$M$75),ISNUMBER(J23)),IF(H23-Audit!$M$75&gt;0.005,ROUND((H23-Audit!$M$75)*K23*(1+Y23)*J23,2),0),0)</f>
        <v>0</v>
      </c>
      <c r="T23" s="0" t="str">
        <f aca="false">Audit!$N$75&amp;""</f>
        <v/>
      </c>
      <c r="U23" s="0" t="n">
        <f aca="false">IF(B23="",0,IF(COUNTIFS($B$2:$B$51,B23,$D$2:$D$51,D23)&gt;1,1,0))</f>
        <v>0</v>
      </c>
      <c r="V23" s="0" t="str">
        <f aca="false">IF(D23="","",IFERROR(INDEX(Audit!$C$43:$C$49,MATCH(D23,Lists!$A$30:$A$36,0)),""))</f>
        <v/>
      </c>
      <c r="W23" s="0" t="n">
        <f aca="false">IF(AND(B23&lt;&gt;"",OR(F23="At cost",F23="TBC",AND(F23&lt;&gt;"If required",G23=11))),1,0)</f>
        <v>0</v>
      </c>
      <c r="X23" s="0" t="str">
        <f aca="false">IF(B23="","",IF(T23&lt;&gt;"","flag",IF(F23="","status",IF(AND(G23=0,OR(F23="Firm",F23="Estimate",AND(F23="If required",ISNUMBER(H23)))),"basis",IF(AND(OR(F23="Firm",F23="Estimate"),G23&lt;&gt;11,NOT(ISNUMBER(H23))),"rate",IF(AND(O23=0,G23=9,OR(F23="Firm",F23="Estimate"),ISNUMBER(H23)),"base",IF(OR(C23="",C23="Unclassified"),"unclass",IF(U23=1,"dup",IF(AND(Audit!$C$19="Yes",O23=1,NOT(ISNUMBER(Audit!$M$75))),"noagree","")))))))))</f>
        <v/>
      </c>
      <c r="Y23" s="0" t="n">
        <f aca="false">IF(ISNUMBER(Audit!$K$75),Audit!$K$75,0)</f>
        <v>0</v>
      </c>
      <c r="Z23" s="0" t="n">
        <f aca="false">IF(AND(F23="Firm",O23=1,ISNUMBER(J23)),L23*J23,0)</f>
        <v>0</v>
      </c>
      <c r="AE23" s="0" t="s">
        <v>316</v>
      </c>
      <c r="AF23" s="0" t="str">
        <f aca="false">AF25&amp;" verified · "&amp;AF26&amp;" calculated, not independently verified · "&amp;AF27&amp;" with errors"</f>
        <v>0 verified · 0 calculated, not independently verified · 0 with errors</v>
      </c>
      <c r="AH23" s="0" t="n">
        <v>22</v>
      </c>
      <c r="AI23" s="0" t="str">
        <f aca="false">IFERROR(SMALL($J$70:$J$470,AH23),"")</f>
        <v/>
      </c>
      <c r="AJ23" s="0" t="str">
        <f aca="false">IF(AI23="","",MATCH(AI23,$J$70:$J$470,0))</f>
        <v/>
      </c>
    </row>
    <row r="24" customFormat="false" ht="15" hidden="false" customHeight="false" outlineLevel="0" collapsed="false">
      <c r="A24" s="0" t="n">
        <v>23</v>
      </c>
      <c r="B24" s="0" t="str">
        <f aca="false">TRIM(Audit!$B$76)</f>
        <v/>
      </c>
      <c r="C24" s="0" t="str">
        <f aca="false">Audit!$C$76&amp;""</f>
        <v/>
      </c>
      <c r="D24" s="0" t="str">
        <f aca="false">IF(B24="","",IF(C24="","Other",IFERROR(INDEX(Lists!$C$4:$C$16,MATCH(C24,Lists!$A$4:$A$16,0)),"Other")))</f>
        <v/>
      </c>
      <c r="E24" s="0" t="str">
        <f aca="false">IF(B24="","",IF(C24="","Other",IFERROR(INDEX(Lists!$B$4:$B$16,MATCH(C24,Lists!$A$4:$A$16,0)),"Other")))</f>
        <v/>
      </c>
      <c r="F24" s="0" t="str">
        <f aca="false">Audit!$G$76&amp;""</f>
        <v/>
      </c>
      <c r="G24" s="0" t="n">
        <f aca="false">IFERROR(MATCH(Audit!$D$76,Lists!$E$4:$E$14,0),0)</f>
        <v>0</v>
      </c>
      <c r="H24" s="0" t="str">
        <f aca="false">IF(ISNUMBER(Audit!$E$76),Audit!$E$76,"")</f>
        <v/>
      </c>
      <c r="I24" s="0" t="n">
        <f aca="false">IF(TRIM(Audit!$F$76)="",Audit!$C$25,TRIM(Audit!$F$76))</f>
        <v>0</v>
      </c>
      <c r="J24" s="0" t="n">
        <f aca="false">IF(OR(I24=Audit!$C$25,I24=""),1,IF(AND(I24=Audit!$C$31,ISNUMBER(Audit!$J$31)),Audit!$J$31,IF(AND(I24=Audit!$C$32,ISNUMBER(Audit!$J$32)),Audit!$J$32,"")))</f>
        <v>1</v>
      </c>
      <c r="K24" s="0" t="str">
        <f aca="false">IF(B24="","",IF(ISNUMBER(Audit!$I$76),Audit!$I$76,IF(G24=0,"",CHOOSE(G24,IF(ISNUMBER(Audit!$C$26),Audit!$C$26,1),1,1,1,$AF$33,$AF$30,$AF$31,1,"",1,0))))</f>
        <v/>
      </c>
      <c r="L24" s="0" t="str">
        <f aca="false">IF(O24=1,ROUND(MAX(H24*K24,IF(ISNUMBER(Audit!$J$76),Audit!$J$76,0)),2),"")</f>
        <v/>
      </c>
      <c r="M24" s="0" t="str">
        <f aca="false">IF(O24=1,ROUND(L24*(1+Y24),2),"")</f>
        <v/>
      </c>
      <c r="N24" s="0" t="str">
        <f aca="false">IF(O24=1,IF(ISNUMBER(J24),ROUND(M24*J24,2),""),"")</f>
        <v/>
      </c>
      <c r="O24" s="0" t="n">
        <f aca="false">IF(AND(B24&lt;&gt;"",OR(F24="Firm",F24="Estimate",F24="If required"),ISNUMBER(H24),G24&gt;0,G24&lt;&gt;11,ISNUMBER(K24)),1,0)</f>
        <v>0</v>
      </c>
      <c r="P24" s="0" t="str">
        <f aca="false">IF(ISNUMBER(Audit!$L$76),Audit!$L$76,"")</f>
        <v/>
      </c>
      <c r="Q24" s="0" t="str">
        <f aca="false">IF(B24="","",IF(OR(F24="At cost",F24="TBC"),"Not priced ("&amp;F24&amp;")",IF(OR(F24="Included",F24="Excluded",F24="Not applicable"),F24,IF(F24="","Status missing",IF(AND(F24="If required",NOT(ISNUMBER(H24))),"Not priced (if required)",IF(G24=0,"Basis missing",IF(G24=11,"Not priced (at cost)",IF(NOT(ISNUMBER(H24)),"Rate missing",IF(AND(G24=9,NOT(ISNUMBER(Audit!$I$76))),"Base amount missing",IF(NOT(ISNUMBER(J24)),"Exchange rate missing",IF(NOT(ISNUMBER(P24)),"Calculated — Not Independently Verified",IF(ABS(R24)&lt;=Lists!$B$44,"Verified","Error - differs by "&amp;TEXT(R24,"#,##0.00")&amp;" "&amp;I24))))))))))))</f>
        <v/>
      </c>
      <c r="R24" s="0" t="str">
        <f aca="false">IF(AND(O24=1,ISNUMBER(P24)),IF(ABS(P24-L24)&lt;=ABS(P24-M24),P24-L24,P24-M24),"")</f>
        <v/>
      </c>
      <c r="S24" s="0" t="n">
        <f aca="false">IF(AND(O24=1,ISNUMBER(Audit!$M$76),ISNUMBER(J24)),IF(H24-Audit!$M$76&gt;0.005,ROUND((H24-Audit!$M$76)*K24*(1+Y24)*J24,2),0),0)</f>
        <v>0</v>
      </c>
      <c r="T24" s="0" t="str">
        <f aca="false">Audit!$N$76&amp;""</f>
        <v/>
      </c>
      <c r="U24" s="0" t="n">
        <f aca="false">IF(B24="",0,IF(COUNTIFS($B$2:$B$51,B24,$D$2:$D$51,D24)&gt;1,1,0))</f>
        <v>0</v>
      </c>
      <c r="V24" s="0" t="str">
        <f aca="false">IF(D24="","",IFERROR(INDEX(Audit!$C$43:$C$49,MATCH(D24,Lists!$A$30:$A$36,0)),""))</f>
        <v/>
      </c>
      <c r="W24" s="0" t="n">
        <f aca="false">IF(AND(B24&lt;&gt;"",OR(F24="At cost",F24="TBC",AND(F24&lt;&gt;"If required",G24=11))),1,0)</f>
        <v>0</v>
      </c>
      <c r="X24" s="0" t="str">
        <f aca="false">IF(B24="","",IF(T24&lt;&gt;"","flag",IF(F24="","status",IF(AND(G24=0,OR(F24="Firm",F24="Estimate",AND(F24="If required",ISNUMBER(H24)))),"basis",IF(AND(OR(F24="Firm",F24="Estimate"),G24&lt;&gt;11,NOT(ISNUMBER(H24))),"rate",IF(AND(O24=0,G24=9,OR(F24="Firm",F24="Estimate"),ISNUMBER(H24)),"base",IF(OR(C24="",C24="Unclassified"),"unclass",IF(U24=1,"dup",IF(AND(Audit!$C$19="Yes",O24=1,NOT(ISNUMBER(Audit!$M$76))),"noagree","")))))))))</f>
        <v/>
      </c>
      <c r="Y24" s="0" t="n">
        <f aca="false">IF(ISNUMBER(Audit!$K$76),Audit!$K$76,0)</f>
        <v>0</v>
      </c>
      <c r="Z24" s="0" t="n">
        <f aca="false">IF(AND(F24="Firm",O24=1,ISNUMBER(J24)),L24*J24,0)</f>
        <v>0</v>
      </c>
      <c r="AE24" s="0" t="s">
        <v>317</v>
      </c>
      <c r="AF24" s="0" t="str">
        <f aca="false">IF(Audit!$C$19="Yes","","Agreed rates (no rate agreement provided); ")&amp;"market price levels (no benchmark used); duty and tax rates (to be confirmed by a licensed customs broker)."</f>
        <v>Agreed rates (no rate agreement provided); market price levels (no benchmark used); duty and tax rates (to be confirmed by a licensed customs broker).</v>
      </c>
      <c r="AH24" s="0" t="n">
        <v>23</v>
      </c>
      <c r="AI24" s="0" t="str">
        <f aca="false">IFERROR(SMALL($J$70:$J$470,AH24),"")</f>
        <v/>
      </c>
      <c r="AJ24" s="0" t="str">
        <f aca="false">IF(AI24="","",MATCH(AI24,$J$70:$J$470,0))</f>
        <v/>
      </c>
    </row>
    <row r="25" customFormat="false" ht="15" hidden="false" customHeight="false" outlineLevel="0" collapsed="false">
      <c r="A25" s="0" t="n">
        <v>24</v>
      </c>
      <c r="B25" s="0" t="str">
        <f aca="false">TRIM(Audit!$B$77)</f>
        <v/>
      </c>
      <c r="C25" s="0" t="str">
        <f aca="false">Audit!$C$77&amp;""</f>
        <v/>
      </c>
      <c r="D25" s="0" t="str">
        <f aca="false">IF(B25="","",IF(C25="","Other",IFERROR(INDEX(Lists!$C$4:$C$16,MATCH(C25,Lists!$A$4:$A$16,0)),"Other")))</f>
        <v/>
      </c>
      <c r="E25" s="0" t="str">
        <f aca="false">IF(B25="","",IF(C25="","Other",IFERROR(INDEX(Lists!$B$4:$B$16,MATCH(C25,Lists!$A$4:$A$16,0)),"Other")))</f>
        <v/>
      </c>
      <c r="F25" s="0" t="str">
        <f aca="false">Audit!$G$77&amp;""</f>
        <v/>
      </c>
      <c r="G25" s="0" t="n">
        <f aca="false">IFERROR(MATCH(Audit!$D$77,Lists!$E$4:$E$14,0),0)</f>
        <v>0</v>
      </c>
      <c r="H25" s="0" t="str">
        <f aca="false">IF(ISNUMBER(Audit!$E$77),Audit!$E$77,"")</f>
        <v/>
      </c>
      <c r="I25" s="0" t="n">
        <f aca="false">IF(TRIM(Audit!$F$77)="",Audit!$C$25,TRIM(Audit!$F$77))</f>
        <v>0</v>
      </c>
      <c r="J25" s="0" t="n">
        <f aca="false">IF(OR(I25=Audit!$C$25,I25=""),1,IF(AND(I25=Audit!$C$31,ISNUMBER(Audit!$J$31)),Audit!$J$31,IF(AND(I25=Audit!$C$32,ISNUMBER(Audit!$J$32)),Audit!$J$32,"")))</f>
        <v>1</v>
      </c>
      <c r="K25" s="0" t="str">
        <f aca="false">IF(B25="","",IF(ISNUMBER(Audit!$I$77),Audit!$I$77,IF(G25=0,"",CHOOSE(G25,IF(ISNUMBER(Audit!$C$26),Audit!$C$26,1),1,1,1,$AF$33,$AF$30,$AF$31,1,"",1,0))))</f>
        <v/>
      </c>
      <c r="L25" s="0" t="str">
        <f aca="false">IF(O25=1,ROUND(MAX(H25*K25,IF(ISNUMBER(Audit!$J$77),Audit!$J$77,0)),2),"")</f>
        <v/>
      </c>
      <c r="M25" s="0" t="str">
        <f aca="false">IF(O25=1,ROUND(L25*(1+Y25),2),"")</f>
        <v/>
      </c>
      <c r="N25" s="0" t="str">
        <f aca="false">IF(O25=1,IF(ISNUMBER(J25),ROUND(M25*J25,2),""),"")</f>
        <v/>
      </c>
      <c r="O25" s="0" t="n">
        <f aca="false">IF(AND(B25&lt;&gt;"",OR(F25="Firm",F25="Estimate",F25="If required"),ISNUMBER(H25),G25&gt;0,G25&lt;&gt;11,ISNUMBER(K25)),1,0)</f>
        <v>0</v>
      </c>
      <c r="P25" s="0" t="str">
        <f aca="false">IF(ISNUMBER(Audit!$L$77),Audit!$L$77,"")</f>
        <v/>
      </c>
      <c r="Q25" s="0" t="str">
        <f aca="false">IF(B25="","",IF(OR(F25="At cost",F25="TBC"),"Not priced ("&amp;F25&amp;")",IF(OR(F25="Included",F25="Excluded",F25="Not applicable"),F25,IF(F25="","Status missing",IF(AND(F25="If required",NOT(ISNUMBER(H25))),"Not priced (if required)",IF(G25=0,"Basis missing",IF(G25=11,"Not priced (at cost)",IF(NOT(ISNUMBER(H25)),"Rate missing",IF(AND(G25=9,NOT(ISNUMBER(Audit!$I$77))),"Base amount missing",IF(NOT(ISNUMBER(J25)),"Exchange rate missing",IF(NOT(ISNUMBER(P25)),"Calculated — Not Independently Verified",IF(ABS(R25)&lt;=Lists!$B$44,"Verified","Error - differs by "&amp;TEXT(R25,"#,##0.00")&amp;" "&amp;I25))))))))))))</f>
        <v/>
      </c>
      <c r="R25" s="0" t="str">
        <f aca="false">IF(AND(O25=1,ISNUMBER(P25)),IF(ABS(P25-L25)&lt;=ABS(P25-M25),P25-L25,P25-M25),"")</f>
        <v/>
      </c>
      <c r="S25" s="0" t="n">
        <f aca="false">IF(AND(O25=1,ISNUMBER(Audit!$M$77),ISNUMBER(J25)),IF(H25-Audit!$M$77&gt;0.005,ROUND((H25-Audit!$M$77)*K25*(1+Y25)*J25,2),0),0)</f>
        <v>0</v>
      </c>
      <c r="T25" s="0" t="str">
        <f aca="false">Audit!$N$77&amp;""</f>
        <v/>
      </c>
      <c r="U25" s="0" t="n">
        <f aca="false">IF(B25="",0,IF(COUNTIFS($B$2:$B$51,B25,$D$2:$D$51,D25)&gt;1,1,0))</f>
        <v>0</v>
      </c>
      <c r="V25" s="0" t="str">
        <f aca="false">IF(D25="","",IFERROR(INDEX(Audit!$C$43:$C$49,MATCH(D25,Lists!$A$30:$A$36,0)),""))</f>
        <v/>
      </c>
      <c r="W25" s="0" t="n">
        <f aca="false">IF(AND(B25&lt;&gt;"",OR(F25="At cost",F25="TBC",AND(F25&lt;&gt;"If required",G25=11))),1,0)</f>
        <v>0</v>
      </c>
      <c r="X25" s="0" t="str">
        <f aca="false">IF(B25="","",IF(T25&lt;&gt;"","flag",IF(F25="","status",IF(AND(G25=0,OR(F25="Firm",F25="Estimate",AND(F25="If required",ISNUMBER(H25)))),"basis",IF(AND(OR(F25="Firm",F25="Estimate"),G25&lt;&gt;11,NOT(ISNUMBER(H25))),"rate",IF(AND(O25=0,G25=9,OR(F25="Firm",F25="Estimate"),ISNUMBER(H25)),"base",IF(OR(C25="",C25="Unclassified"),"unclass",IF(U25=1,"dup",IF(AND(Audit!$C$19="Yes",O25=1,NOT(ISNUMBER(Audit!$M$77))),"noagree","")))))))))</f>
        <v/>
      </c>
      <c r="Y25" s="0" t="n">
        <f aca="false">IF(ISNUMBER(Audit!$K$77),Audit!$K$77,0)</f>
        <v>0</v>
      </c>
      <c r="Z25" s="0" t="n">
        <f aca="false">IF(AND(F25="Firm",O25=1,ISNUMBER(J25)),L25*J25,0)</f>
        <v>0</v>
      </c>
      <c r="AE25" s="0" t="s">
        <v>318</v>
      </c>
      <c r="AF25" s="0" t="n">
        <f aca="false">COUNTIFS($Q$2:$Q$51,"Verified")</f>
        <v>0</v>
      </c>
      <c r="AH25" s="0" t="n">
        <v>24</v>
      </c>
      <c r="AI25" s="0" t="str">
        <f aca="false">IFERROR(SMALL($J$70:$J$470,AH25),"")</f>
        <v/>
      </c>
      <c r="AJ25" s="0" t="str">
        <f aca="false">IF(AI25="","",MATCH(AI25,$J$70:$J$470,0))</f>
        <v/>
      </c>
    </row>
    <row r="26" customFormat="false" ht="15" hidden="false" customHeight="false" outlineLevel="0" collapsed="false">
      <c r="A26" s="0" t="n">
        <v>25</v>
      </c>
      <c r="B26" s="0" t="str">
        <f aca="false">TRIM(Audit!$B$78)</f>
        <v/>
      </c>
      <c r="C26" s="0" t="str">
        <f aca="false">Audit!$C$78&amp;""</f>
        <v/>
      </c>
      <c r="D26" s="0" t="str">
        <f aca="false">IF(B26="","",IF(C26="","Other",IFERROR(INDEX(Lists!$C$4:$C$16,MATCH(C26,Lists!$A$4:$A$16,0)),"Other")))</f>
        <v/>
      </c>
      <c r="E26" s="0" t="str">
        <f aca="false">IF(B26="","",IF(C26="","Other",IFERROR(INDEX(Lists!$B$4:$B$16,MATCH(C26,Lists!$A$4:$A$16,0)),"Other")))</f>
        <v/>
      </c>
      <c r="F26" s="0" t="str">
        <f aca="false">Audit!$G$78&amp;""</f>
        <v/>
      </c>
      <c r="G26" s="0" t="n">
        <f aca="false">IFERROR(MATCH(Audit!$D$78,Lists!$E$4:$E$14,0),0)</f>
        <v>0</v>
      </c>
      <c r="H26" s="0" t="str">
        <f aca="false">IF(ISNUMBER(Audit!$E$78),Audit!$E$78,"")</f>
        <v/>
      </c>
      <c r="I26" s="0" t="n">
        <f aca="false">IF(TRIM(Audit!$F$78)="",Audit!$C$25,TRIM(Audit!$F$78))</f>
        <v>0</v>
      </c>
      <c r="J26" s="0" t="n">
        <f aca="false">IF(OR(I26=Audit!$C$25,I26=""),1,IF(AND(I26=Audit!$C$31,ISNUMBER(Audit!$J$31)),Audit!$J$31,IF(AND(I26=Audit!$C$32,ISNUMBER(Audit!$J$32)),Audit!$J$32,"")))</f>
        <v>1</v>
      </c>
      <c r="K26" s="0" t="str">
        <f aca="false">IF(B26="","",IF(ISNUMBER(Audit!$I$78),Audit!$I$78,IF(G26=0,"",CHOOSE(G26,IF(ISNUMBER(Audit!$C$26),Audit!$C$26,1),1,1,1,$AF$33,$AF$30,$AF$31,1,"",1,0))))</f>
        <v/>
      </c>
      <c r="L26" s="0" t="str">
        <f aca="false">IF(O26=1,ROUND(MAX(H26*K26,IF(ISNUMBER(Audit!$J$78),Audit!$J$78,0)),2),"")</f>
        <v/>
      </c>
      <c r="M26" s="0" t="str">
        <f aca="false">IF(O26=1,ROUND(L26*(1+Y26),2),"")</f>
        <v/>
      </c>
      <c r="N26" s="0" t="str">
        <f aca="false">IF(O26=1,IF(ISNUMBER(J26),ROUND(M26*J26,2),""),"")</f>
        <v/>
      </c>
      <c r="O26" s="0" t="n">
        <f aca="false">IF(AND(B26&lt;&gt;"",OR(F26="Firm",F26="Estimate",F26="If required"),ISNUMBER(H26),G26&gt;0,G26&lt;&gt;11,ISNUMBER(K26)),1,0)</f>
        <v>0</v>
      </c>
      <c r="P26" s="0" t="str">
        <f aca="false">IF(ISNUMBER(Audit!$L$78),Audit!$L$78,"")</f>
        <v/>
      </c>
      <c r="Q26" s="0" t="str">
        <f aca="false">IF(B26="","",IF(OR(F26="At cost",F26="TBC"),"Not priced ("&amp;F26&amp;")",IF(OR(F26="Included",F26="Excluded",F26="Not applicable"),F26,IF(F26="","Status missing",IF(AND(F26="If required",NOT(ISNUMBER(H26))),"Not priced (if required)",IF(G26=0,"Basis missing",IF(G26=11,"Not priced (at cost)",IF(NOT(ISNUMBER(H26)),"Rate missing",IF(AND(G26=9,NOT(ISNUMBER(Audit!$I$78))),"Base amount missing",IF(NOT(ISNUMBER(J26)),"Exchange rate missing",IF(NOT(ISNUMBER(P26)),"Calculated — Not Independently Verified",IF(ABS(R26)&lt;=Lists!$B$44,"Verified","Error - differs by "&amp;TEXT(R26,"#,##0.00")&amp;" "&amp;I26))))))))))))</f>
        <v/>
      </c>
      <c r="R26" s="0" t="str">
        <f aca="false">IF(AND(O26=1,ISNUMBER(P26)),IF(ABS(P26-L26)&lt;=ABS(P26-M26),P26-L26,P26-M26),"")</f>
        <v/>
      </c>
      <c r="S26" s="0" t="n">
        <f aca="false">IF(AND(O26=1,ISNUMBER(Audit!$M$78),ISNUMBER(J26)),IF(H26-Audit!$M$78&gt;0.005,ROUND((H26-Audit!$M$78)*K26*(1+Y26)*J26,2),0),0)</f>
        <v>0</v>
      </c>
      <c r="T26" s="0" t="str">
        <f aca="false">Audit!$N$78&amp;""</f>
        <v/>
      </c>
      <c r="U26" s="0" t="n">
        <f aca="false">IF(B26="",0,IF(COUNTIFS($B$2:$B$51,B26,$D$2:$D$51,D26)&gt;1,1,0))</f>
        <v>0</v>
      </c>
      <c r="V26" s="0" t="str">
        <f aca="false">IF(D26="","",IFERROR(INDEX(Audit!$C$43:$C$49,MATCH(D26,Lists!$A$30:$A$36,0)),""))</f>
        <v/>
      </c>
      <c r="W26" s="0" t="n">
        <f aca="false">IF(AND(B26&lt;&gt;"",OR(F26="At cost",F26="TBC",AND(F26&lt;&gt;"If required",G26=11))),1,0)</f>
        <v>0</v>
      </c>
      <c r="X26" s="0" t="str">
        <f aca="false">IF(B26="","",IF(T26&lt;&gt;"","flag",IF(F26="","status",IF(AND(G26=0,OR(F26="Firm",F26="Estimate",AND(F26="If required",ISNUMBER(H26)))),"basis",IF(AND(OR(F26="Firm",F26="Estimate"),G26&lt;&gt;11,NOT(ISNUMBER(H26))),"rate",IF(AND(O26=0,G26=9,OR(F26="Firm",F26="Estimate"),ISNUMBER(H26)),"base",IF(OR(C26="",C26="Unclassified"),"unclass",IF(U26=1,"dup",IF(AND(Audit!$C$19="Yes",O26=1,NOT(ISNUMBER(Audit!$M$78))),"noagree","")))))))))</f>
        <v/>
      </c>
      <c r="Y26" s="0" t="n">
        <f aca="false">IF(ISNUMBER(Audit!$K$78),Audit!$K$78,0)</f>
        <v>0</v>
      </c>
      <c r="Z26" s="0" t="n">
        <f aca="false">IF(AND(F26="Firm",O26=1,ISNUMBER(J26)),L26*J26,0)</f>
        <v>0</v>
      </c>
      <c r="AE26" s="0" t="s">
        <v>319</v>
      </c>
      <c r="AF26" s="0" t="n">
        <f aca="false">COUNTIFS($Q$2:$Q$51,"Calculated — Not Independently Verified")</f>
        <v>0</v>
      </c>
      <c r="AH26" s="0" t="n">
        <v>25</v>
      </c>
      <c r="AI26" s="0" t="str">
        <f aca="false">IFERROR(SMALL($J$70:$J$470,AH26),"")</f>
        <v/>
      </c>
      <c r="AJ26" s="0" t="str">
        <f aca="false">IF(AI26="","",MATCH(AI26,$J$70:$J$470,0))</f>
        <v/>
      </c>
    </row>
    <row r="27" customFormat="false" ht="15" hidden="false" customHeight="false" outlineLevel="0" collapsed="false">
      <c r="A27" s="0" t="n">
        <v>26</v>
      </c>
      <c r="B27" s="0" t="str">
        <f aca="false">TRIM(Audit!$B$79)</f>
        <v/>
      </c>
      <c r="C27" s="0" t="str">
        <f aca="false">Audit!$C$79&amp;""</f>
        <v/>
      </c>
      <c r="D27" s="0" t="str">
        <f aca="false">IF(B27="","",IF(C27="","Other",IFERROR(INDEX(Lists!$C$4:$C$16,MATCH(C27,Lists!$A$4:$A$16,0)),"Other")))</f>
        <v/>
      </c>
      <c r="E27" s="0" t="str">
        <f aca="false">IF(B27="","",IF(C27="","Other",IFERROR(INDEX(Lists!$B$4:$B$16,MATCH(C27,Lists!$A$4:$A$16,0)),"Other")))</f>
        <v/>
      </c>
      <c r="F27" s="0" t="str">
        <f aca="false">Audit!$G$79&amp;""</f>
        <v/>
      </c>
      <c r="G27" s="0" t="n">
        <f aca="false">IFERROR(MATCH(Audit!$D$79,Lists!$E$4:$E$14,0),0)</f>
        <v>0</v>
      </c>
      <c r="H27" s="0" t="str">
        <f aca="false">IF(ISNUMBER(Audit!$E$79),Audit!$E$79,"")</f>
        <v/>
      </c>
      <c r="I27" s="0" t="n">
        <f aca="false">IF(TRIM(Audit!$F$79)="",Audit!$C$25,TRIM(Audit!$F$79))</f>
        <v>0</v>
      </c>
      <c r="J27" s="0" t="n">
        <f aca="false">IF(OR(I27=Audit!$C$25,I27=""),1,IF(AND(I27=Audit!$C$31,ISNUMBER(Audit!$J$31)),Audit!$J$31,IF(AND(I27=Audit!$C$32,ISNUMBER(Audit!$J$32)),Audit!$J$32,"")))</f>
        <v>1</v>
      </c>
      <c r="K27" s="0" t="str">
        <f aca="false">IF(B27="","",IF(ISNUMBER(Audit!$I$79),Audit!$I$79,IF(G27=0,"",CHOOSE(G27,IF(ISNUMBER(Audit!$C$26),Audit!$C$26,1),1,1,1,$AF$33,$AF$30,$AF$31,1,"",1,0))))</f>
        <v/>
      </c>
      <c r="L27" s="0" t="str">
        <f aca="false">IF(O27=1,ROUND(MAX(H27*K27,IF(ISNUMBER(Audit!$J$79),Audit!$J$79,0)),2),"")</f>
        <v/>
      </c>
      <c r="M27" s="0" t="str">
        <f aca="false">IF(O27=1,ROUND(L27*(1+Y27),2),"")</f>
        <v/>
      </c>
      <c r="N27" s="0" t="str">
        <f aca="false">IF(O27=1,IF(ISNUMBER(J27),ROUND(M27*J27,2),""),"")</f>
        <v/>
      </c>
      <c r="O27" s="0" t="n">
        <f aca="false">IF(AND(B27&lt;&gt;"",OR(F27="Firm",F27="Estimate",F27="If required"),ISNUMBER(H27),G27&gt;0,G27&lt;&gt;11,ISNUMBER(K27)),1,0)</f>
        <v>0</v>
      </c>
      <c r="P27" s="0" t="str">
        <f aca="false">IF(ISNUMBER(Audit!$L$79),Audit!$L$79,"")</f>
        <v/>
      </c>
      <c r="Q27" s="0" t="str">
        <f aca="false">IF(B27="","",IF(OR(F27="At cost",F27="TBC"),"Not priced ("&amp;F27&amp;")",IF(OR(F27="Included",F27="Excluded",F27="Not applicable"),F27,IF(F27="","Status missing",IF(AND(F27="If required",NOT(ISNUMBER(H27))),"Not priced (if required)",IF(G27=0,"Basis missing",IF(G27=11,"Not priced (at cost)",IF(NOT(ISNUMBER(H27)),"Rate missing",IF(AND(G27=9,NOT(ISNUMBER(Audit!$I$79))),"Base amount missing",IF(NOT(ISNUMBER(J27)),"Exchange rate missing",IF(NOT(ISNUMBER(P27)),"Calculated — Not Independently Verified",IF(ABS(R27)&lt;=Lists!$B$44,"Verified","Error - differs by "&amp;TEXT(R27,"#,##0.00")&amp;" "&amp;I27))))))))))))</f>
        <v/>
      </c>
      <c r="R27" s="0" t="str">
        <f aca="false">IF(AND(O27=1,ISNUMBER(P27)),IF(ABS(P27-L27)&lt;=ABS(P27-M27),P27-L27,P27-M27),"")</f>
        <v/>
      </c>
      <c r="S27" s="0" t="n">
        <f aca="false">IF(AND(O27=1,ISNUMBER(Audit!$M$79),ISNUMBER(J27)),IF(H27-Audit!$M$79&gt;0.005,ROUND((H27-Audit!$M$79)*K27*(1+Y27)*J27,2),0),0)</f>
        <v>0</v>
      </c>
      <c r="T27" s="0" t="str">
        <f aca="false">Audit!$N$79&amp;""</f>
        <v/>
      </c>
      <c r="U27" s="0" t="n">
        <f aca="false">IF(B27="",0,IF(COUNTIFS($B$2:$B$51,B27,$D$2:$D$51,D27)&gt;1,1,0))</f>
        <v>0</v>
      </c>
      <c r="V27" s="0" t="str">
        <f aca="false">IF(D27="","",IFERROR(INDEX(Audit!$C$43:$C$49,MATCH(D27,Lists!$A$30:$A$36,0)),""))</f>
        <v/>
      </c>
      <c r="W27" s="0" t="n">
        <f aca="false">IF(AND(B27&lt;&gt;"",OR(F27="At cost",F27="TBC",AND(F27&lt;&gt;"If required",G27=11))),1,0)</f>
        <v>0</v>
      </c>
      <c r="X27" s="0" t="str">
        <f aca="false">IF(B27="","",IF(T27&lt;&gt;"","flag",IF(F27="","status",IF(AND(G27=0,OR(F27="Firm",F27="Estimate",AND(F27="If required",ISNUMBER(H27)))),"basis",IF(AND(OR(F27="Firm",F27="Estimate"),G27&lt;&gt;11,NOT(ISNUMBER(H27))),"rate",IF(AND(O27=0,G27=9,OR(F27="Firm",F27="Estimate"),ISNUMBER(H27)),"base",IF(OR(C27="",C27="Unclassified"),"unclass",IF(U27=1,"dup",IF(AND(Audit!$C$19="Yes",O27=1,NOT(ISNUMBER(Audit!$M$79))),"noagree","")))))))))</f>
        <v/>
      </c>
      <c r="Y27" s="0" t="n">
        <f aca="false">IF(ISNUMBER(Audit!$K$79),Audit!$K$79,0)</f>
        <v>0</v>
      </c>
      <c r="Z27" s="0" t="n">
        <f aca="false">IF(AND(F27="Firm",O27=1,ISNUMBER(J27)),L27*J27,0)</f>
        <v>0</v>
      </c>
      <c r="AE27" s="0" t="s">
        <v>320</v>
      </c>
      <c r="AF27" s="0" t="n">
        <f aca="false">COUNTIFS($Q$2:$Q$51,"Error*")</f>
        <v>0</v>
      </c>
      <c r="AH27" s="0" t="n">
        <v>26</v>
      </c>
      <c r="AI27" s="0" t="str">
        <f aca="false">IFERROR(SMALL($J$70:$J$470,AH27),"")</f>
        <v/>
      </c>
      <c r="AJ27" s="0" t="str">
        <f aca="false">IF(AI27="","",MATCH(AI27,$J$70:$J$470,0))</f>
        <v/>
      </c>
    </row>
    <row r="28" customFormat="false" ht="15" hidden="false" customHeight="false" outlineLevel="0" collapsed="false">
      <c r="A28" s="0" t="n">
        <v>27</v>
      </c>
      <c r="B28" s="0" t="str">
        <f aca="false">TRIM(Audit!$B$80)</f>
        <v/>
      </c>
      <c r="C28" s="0" t="str">
        <f aca="false">Audit!$C$80&amp;""</f>
        <v/>
      </c>
      <c r="D28" s="0" t="str">
        <f aca="false">IF(B28="","",IF(C28="","Other",IFERROR(INDEX(Lists!$C$4:$C$16,MATCH(C28,Lists!$A$4:$A$16,0)),"Other")))</f>
        <v/>
      </c>
      <c r="E28" s="0" t="str">
        <f aca="false">IF(B28="","",IF(C28="","Other",IFERROR(INDEX(Lists!$B$4:$B$16,MATCH(C28,Lists!$A$4:$A$16,0)),"Other")))</f>
        <v/>
      </c>
      <c r="F28" s="0" t="str">
        <f aca="false">Audit!$G$80&amp;""</f>
        <v/>
      </c>
      <c r="G28" s="0" t="n">
        <f aca="false">IFERROR(MATCH(Audit!$D$80,Lists!$E$4:$E$14,0),0)</f>
        <v>0</v>
      </c>
      <c r="H28" s="0" t="str">
        <f aca="false">IF(ISNUMBER(Audit!$E$80),Audit!$E$80,"")</f>
        <v/>
      </c>
      <c r="I28" s="0" t="n">
        <f aca="false">IF(TRIM(Audit!$F$80)="",Audit!$C$25,TRIM(Audit!$F$80))</f>
        <v>0</v>
      </c>
      <c r="J28" s="0" t="n">
        <f aca="false">IF(OR(I28=Audit!$C$25,I28=""),1,IF(AND(I28=Audit!$C$31,ISNUMBER(Audit!$J$31)),Audit!$J$31,IF(AND(I28=Audit!$C$32,ISNUMBER(Audit!$J$32)),Audit!$J$32,"")))</f>
        <v>1</v>
      </c>
      <c r="K28" s="0" t="str">
        <f aca="false">IF(B28="","",IF(ISNUMBER(Audit!$I$80),Audit!$I$80,IF(G28=0,"",CHOOSE(G28,IF(ISNUMBER(Audit!$C$26),Audit!$C$26,1),1,1,1,$AF$33,$AF$30,$AF$31,1,"",1,0))))</f>
        <v/>
      </c>
      <c r="L28" s="0" t="str">
        <f aca="false">IF(O28=1,ROUND(MAX(H28*K28,IF(ISNUMBER(Audit!$J$80),Audit!$J$80,0)),2),"")</f>
        <v/>
      </c>
      <c r="M28" s="0" t="str">
        <f aca="false">IF(O28=1,ROUND(L28*(1+Y28),2),"")</f>
        <v/>
      </c>
      <c r="N28" s="0" t="str">
        <f aca="false">IF(O28=1,IF(ISNUMBER(J28),ROUND(M28*J28,2),""),"")</f>
        <v/>
      </c>
      <c r="O28" s="0" t="n">
        <f aca="false">IF(AND(B28&lt;&gt;"",OR(F28="Firm",F28="Estimate",F28="If required"),ISNUMBER(H28),G28&gt;0,G28&lt;&gt;11,ISNUMBER(K28)),1,0)</f>
        <v>0</v>
      </c>
      <c r="P28" s="0" t="str">
        <f aca="false">IF(ISNUMBER(Audit!$L$80),Audit!$L$80,"")</f>
        <v/>
      </c>
      <c r="Q28" s="0" t="str">
        <f aca="false">IF(B28="","",IF(OR(F28="At cost",F28="TBC"),"Not priced ("&amp;F28&amp;")",IF(OR(F28="Included",F28="Excluded",F28="Not applicable"),F28,IF(F28="","Status missing",IF(AND(F28="If required",NOT(ISNUMBER(H28))),"Not priced (if required)",IF(G28=0,"Basis missing",IF(G28=11,"Not priced (at cost)",IF(NOT(ISNUMBER(H28)),"Rate missing",IF(AND(G28=9,NOT(ISNUMBER(Audit!$I$80))),"Base amount missing",IF(NOT(ISNUMBER(J28)),"Exchange rate missing",IF(NOT(ISNUMBER(P28)),"Calculated — Not Independently Verified",IF(ABS(R28)&lt;=Lists!$B$44,"Verified","Error - differs by "&amp;TEXT(R28,"#,##0.00")&amp;" "&amp;I28))))))))))))</f>
        <v/>
      </c>
      <c r="R28" s="0" t="str">
        <f aca="false">IF(AND(O28=1,ISNUMBER(P28)),IF(ABS(P28-L28)&lt;=ABS(P28-M28),P28-L28,P28-M28),"")</f>
        <v/>
      </c>
      <c r="S28" s="0" t="n">
        <f aca="false">IF(AND(O28=1,ISNUMBER(Audit!$M$80),ISNUMBER(J28)),IF(H28-Audit!$M$80&gt;0.005,ROUND((H28-Audit!$M$80)*K28*(1+Y28)*J28,2),0),0)</f>
        <v>0</v>
      </c>
      <c r="T28" s="0" t="str">
        <f aca="false">Audit!$N$80&amp;""</f>
        <v/>
      </c>
      <c r="U28" s="0" t="n">
        <f aca="false">IF(B28="",0,IF(COUNTIFS($B$2:$B$51,B28,$D$2:$D$51,D28)&gt;1,1,0))</f>
        <v>0</v>
      </c>
      <c r="V28" s="0" t="str">
        <f aca="false">IF(D28="","",IFERROR(INDEX(Audit!$C$43:$C$49,MATCH(D28,Lists!$A$30:$A$36,0)),""))</f>
        <v/>
      </c>
      <c r="W28" s="0" t="n">
        <f aca="false">IF(AND(B28&lt;&gt;"",OR(F28="At cost",F28="TBC",AND(F28&lt;&gt;"If required",G28=11))),1,0)</f>
        <v>0</v>
      </c>
      <c r="X28" s="0" t="str">
        <f aca="false">IF(B28="","",IF(T28&lt;&gt;"","flag",IF(F28="","status",IF(AND(G28=0,OR(F28="Firm",F28="Estimate",AND(F28="If required",ISNUMBER(H28)))),"basis",IF(AND(OR(F28="Firm",F28="Estimate"),G28&lt;&gt;11,NOT(ISNUMBER(H28))),"rate",IF(AND(O28=0,G28=9,OR(F28="Firm",F28="Estimate"),ISNUMBER(H28)),"base",IF(OR(C28="",C28="Unclassified"),"unclass",IF(U28=1,"dup",IF(AND(Audit!$C$19="Yes",O28=1,NOT(ISNUMBER(Audit!$M$80))),"noagree","")))))))))</f>
        <v/>
      </c>
      <c r="Y28" s="0" t="n">
        <f aca="false">IF(ISNUMBER(Audit!$K$80),Audit!$K$80,0)</f>
        <v>0</v>
      </c>
      <c r="Z28" s="0" t="n">
        <f aca="false">IF(AND(F28="Firm",O28=1,ISNUMBER(J28)),L28*J28,0)</f>
        <v>0</v>
      </c>
      <c r="AE28" s="0" t="s">
        <v>321</v>
      </c>
      <c r="AF28" s="0" t="n">
        <f aca="false">SUM($Z$2:$Z$51)</f>
        <v>0</v>
      </c>
      <c r="AH28" s="0" t="n">
        <v>27</v>
      </c>
      <c r="AI28" s="0" t="str">
        <f aca="false">IFERROR(SMALL($J$70:$J$470,AH28),"")</f>
        <v/>
      </c>
      <c r="AJ28" s="0" t="str">
        <f aca="false">IF(AI28="","",MATCH(AI28,$J$70:$J$470,0))</f>
        <v/>
      </c>
    </row>
    <row r="29" customFormat="false" ht="15" hidden="false" customHeight="false" outlineLevel="0" collapsed="false">
      <c r="A29" s="0" t="n">
        <v>28</v>
      </c>
      <c r="B29" s="0" t="str">
        <f aca="false">TRIM(Audit!$B$81)</f>
        <v/>
      </c>
      <c r="C29" s="0" t="str">
        <f aca="false">Audit!$C$81&amp;""</f>
        <v/>
      </c>
      <c r="D29" s="0" t="str">
        <f aca="false">IF(B29="","",IF(C29="","Other",IFERROR(INDEX(Lists!$C$4:$C$16,MATCH(C29,Lists!$A$4:$A$16,0)),"Other")))</f>
        <v/>
      </c>
      <c r="E29" s="0" t="str">
        <f aca="false">IF(B29="","",IF(C29="","Other",IFERROR(INDEX(Lists!$B$4:$B$16,MATCH(C29,Lists!$A$4:$A$16,0)),"Other")))</f>
        <v/>
      </c>
      <c r="F29" s="0" t="str">
        <f aca="false">Audit!$G$81&amp;""</f>
        <v/>
      </c>
      <c r="G29" s="0" t="n">
        <f aca="false">IFERROR(MATCH(Audit!$D$81,Lists!$E$4:$E$14,0),0)</f>
        <v>0</v>
      </c>
      <c r="H29" s="0" t="str">
        <f aca="false">IF(ISNUMBER(Audit!$E$81),Audit!$E$81,"")</f>
        <v/>
      </c>
      <c r="I29" s="0" t="n">
        <f aca="false">IF(TRIM(Audit!$F$81)="",Audit!$C$25,TRIM(Audit!$F$81))</f>
        <v>0</v>
      </c>
      <c r="J29" s="0" t="n">
        <f aca="false">IF(OR(I29=Audit!$C$25,I29=""),1,IF(AND(I29=Audit!$C$31,ISNUMBER(Audit!$J$31)),Audit!$J$31,IF(AND(I29=Audit!$C$32,ISNUMBER(Audit!$J$32)),Audit!$J$32,"")))</f>
        <v>1</v>
      </c>
      <c r="K29" s="0" t="str">
        <f aca="false">IF(B29="","",IF(ISNUMBER(Audit!$I$81),Audit!$I$81,IF(G29=0,"",CHOOSE(G29,IF(ISNUMBER(Audit!$C$26),Audit!$C$26,1),1,1,1,$AF$33,$AF$30,$AF$31,1,"",1,0))))</f>
        <v/>
      </c>
      <c r="L29" s="0" t="str">
        <f aca="false">IF(O29=1,ROUND(MAX(H29*K29,IF(ISNUMBER(Audit!$J$81),Audit!$J$81,0)),2),"")</f>
        <v/>
      </c>
      <c r="M29" s="0" t="str">
        <f aca="false">IF(O29=1,ROUND(L29*(1+Y29),2),"")</f>
        <v/>
      </c>
      <c r="N29" s="0" t="str">
        <f aca="false">IF(O29=1,IF(ISNUMBER(J29),ROUND(M29*J29,2),""),"")</f>
        <v/>
      </c>
      <c r="O29" s="0" t="n">
        <f aca="false">IF(AND(B29&lt;&gt;"",OR(F29="Firm",F29="Estimate",F29="If required"),ISNUMBER(H29),G29&gt;0,G29&lt;&gt;11,ISNUMBER(K29)),1,0)</f>
        <v>0</v>
      </c>
      <c r="P29" s="0" t="str">
        <f aca="false">IF(ISNUMBER(Audit!$L$81),Audit!$L$81,"")</f>
        <v/>
      </c>
      <c r="Q29" s="0" t="str">
        <f aca="false">IF(B29="","",IF(OR(F29="At cost",F29="TBC"),"Not priced ("&amp;F29&amp;")",IF(OR(F29="Included",F29="Excluded",F29="Not applicable"),F29,IF(F29="","Status missing",IF(AND(F29="If required",NOT(ISNUMBER(H29))),"Not priced (if required)",IF(G29=0,"Basis missing",IF(G29=11,"Not priced (at cost)",IF(NOT(ISNUMBER(H29)),"Rate missing",IF(AND(G29=9,NOT(ISNUMBER(Audit!$I$81))),"Base amount missing",IF(NOT(ISNUMBER(J29)),"Exchange rate missing",IF(NOT(ISNUMBER(P29)),"Calculated — Not Independently Verified",IF(ABS(R29)&lt;=Lists!$B$44,"Verified","Error - differs by "&amp;TEXT(R29,"#,##0.00")&amp;" "&amp;I29))))))))))))</f>
        <v/>
      </c>
      <c r="R29" s="0" t="str">
        <f aca="false">IF(AND(O29=1,ISNUMBER(P29)),IF(ABS(P29-L29)&lt;=ABS(P29-M29),P29-L29,P29-M29),"")</f>
        <v/>
      </c>
      <c r="S29" s="0" t="n">
        <f aca="false">IF(AND(O29=1,ISNUMBER(Audit!$M$81),ISNUMBER(J29)),IF(H29-Audit!$M$81&gt;0.005,ROUND((H29-Audit!$M$81)*K29*(1+Y29)*J29,2),0),0)</f>
        <v>0</v>
      </c>
      <c r="T29" s="0" t="str">
        <f aca="false">Audit!$N$81&amp;""</f>
        <v/>
      </c>
      <c r="U29" s="0" t="n">
        <f aca="false">IF(B29="",0,IF(COUNTIFS($B$2:$B$51,B29,$D$2:$D$51,D29)&gt;1,1,0))</f>
        <v>0</v>
      </c>
      <c r="V29" s="0" t="str">
        <f aca="false">IF(D29="","",IFERROR(INDEX(Audit!$C$43:$C$49,MATCH(D29,Lists!$A$30:$A$36,0)),""))</f>
        <v/>
      </c>
      <c r="W29" s="0" t="n">
        <f aca="false">IF(AND(B29&lt;&gt;"",OR(F29="At cost",F29="TBC",AND(F29&lt;&gt;"If required",G29=11))),1,0)</f>
        <v>0</v>
      </c>
      <c r="X29" s="0" t="str">
        <f aca="false">IF(B29="","",IF(T29&lt;&gt;"","flag",IF(F29="","status",IF(AND(G29=0,OR(F29="Firm",F29="Estimate",AND(F29="If required",ISNUMBER(H29)))),"basis",IF(AND(OR(F29="Firm",F29="Estimate"),G29&lt;&gt;11,NOT(ISNUMBER(H29))),"rate",IF(AND(O29=0,G29=9,OR(F29="Firm",F29="Estimate"),ISNUMBER(H29)),"base",IF(OR(C29="",C29="Unclassified"),"unclass",IF(U29=1,"dup",IF(AND(Audit!$C$19="Yes",O29=1,NOT(ISNUMBER(Audit!$M$81))),"noagree","")))))))))</f>
        <v/>
      </c>
      <c r="Y29" s="0" t="n">
        <f aca="false">IF(ISNUMBER(Audit!$K$81),Audit!$K$81,0)</f>
        <v>0</v>
      </c>
      <c r="Z29" s="0" t="n">
        <f aca="false">IF(AND(F29="Firm",O29=1,ISNUMBER(J29)),L29*J29,0)</f>
        <v>0</v>
      </c>
      <c r="AE29" s="0" t="s">
        <v>322</v>
      </c>
      <c r="AF29" s="0" t="n">
        <f aca="false">AF10</f>
        <v>0</v>
      </c>
      <c r="AH29" s="0" t="n">
        <v>28</v>
      </c>
      <c r="AI29" s="0" t="str">
        <f aca="false">IFERROR(SMALL($J$70:$J$470,AH29),"")</f>
        <v/>
      </c>
      <c r="AJ29" s="0" t="str">
        <f aca="false">IF(AI29="","",MATCH(AI29,$J$70:$J$470,0))</f>
        <v/>
      </c>
    </row>
    <row r="30" customFormat="false" ht="15" hidden="false" customHeight="false" outlineLevel="0" collapsed="false">
      <c r="A30" s="0" t="n">
        <v>29</v>
      </c>
      <c r="B30" s="0" t="str">
        <f aca="false">TRIM(Audit!$B$82)</f>
        <v/>
      </c>
      <c r="C30" s="0" t="str">
        <f aca="false">Audit!$C$82&amp;""</f>
        <v/>
      </c>
      <c r="D30" s="0" t="str">
        <f aca="false">IF(B30="","",IF(C30="","Other",IFERROR(INDEX(Lists!$C$4:$C$16,MATCH(C30,Lists!$A$4:$A$16,0)),"Other")))</f>
        <v/>
      </c>
      <c r="E30" s="0" t="str">
        <f aca="false">IF(B30="","",IF(C30="","Other",IFERROR(INDEX(Lists!$B$4:$B$16,MATCH(C30,Lists!$A$4:$A$16,0)),"Other")))</f>
        <v/>
      </c>
      <c r="F30" s="0" t="str">
        <f aca="false">Audit!$G$82&amp;""</f>
        <v/>
      </c>
      <c r="G30" s="0" t="n">
        <f aca="false">IFERROR(MATCH(Audit!$D$82,Lists!$E$4:$E$14,0),0)</f>
        <v>0</v>
      </c>
      <c r="H30" s="0" t="str">
        <f aca="false">IF(ISNUMBER(Audit!$E$82),Audit!$E$82,"")</f>
        <v/>
      </c>
      <c r="I30" s="0" t="n">
        <f aca="false">IF(TRIM(Audit!$F$82)="",Audit!$C$25,TRIM(Audit!$F$82))</f>
        <v>0</v>
      </c>
      <c r="J30" s="0" t="n">
        <f aca="false">IF(OR(I30=Audit!$C$25,I30=""),1,IF(AND(I30=Audit!$C$31,ISNUMBER(Audit!$J$31)),Audit!$J$31,IF(AND(I30=Audit!$C$32,ISNUMBER(Audit!$J$32)),Audit!$J$32,"")))</f>
        <v>1</v>
      </c>
      <c r="K30" s="0" t="str">
        <f aca="false">IF(B30="","",IF(ISNUMBER(Audit!$I$82),Audit!$I$82,IF(G30=0,"",CHOOSE(G30,IF(ISNUMBER(Audit!$C$26),Audit!$C$26,1),1,1,1,$AF$33,$AF$30,$AF$31,1,"",1,0))))</f>
        <v/>
      </c>
      <c r="L30" s="0" t="str">
        <f aca="false">IF(O30=1,ROUND(MAX(H30*K30,IF(ISNUMBER(Audit!$J$82),Audit!$J$82,0)),2),"")</f>
        <v/>
      </c>
      <c r="M30" s="0" t="str">
        <f aca="false">IF(O30=1,ROUND(L30*(1+Y30),2),"")</f>
        <v/>
      </c>
      <c r="N30" s="0" t="str">
        <f aca="false">IF(O30=1,IF(ISNUMBER(J30),ROUND(M30*J30,2),""),"")</f>
        <v/>
      </c>
      <c r="O30" s="0" t="n">
        <f aca="false">IF(AND(B30&lt;&gt;"",OR(F30="Firm",F30="Estimate",F30="If required"),ISNUMBER(H30),G30&gt;0,G30&lt;&gt;11,ISNUMBER(K30)),1,0)</f>
        <v>0</v>
      </c>
      <c r="P30" s="0" t="str">
        <f aca="false">IF(ISNUMBER(Audit!$L$82),Audit!$L$82,"")</f>
        <v/>
      </c>
      <c r="Q30" s="0" t="str">
        <f aca="false">IF(B30="","",IF(OR(F30="At cost",F30="TBC"),"Not priced ("&amp;F30&amp;")",IF(OR(F30="Included",F30="Excluded",F30="Not applicable"),F30,IF(F30="","Status missing",IF(AND(F30="If required",NOT(ISNUMBER(H30))),"Not priced (if required)",IF(G30=0,"Basis missing",IF(G30=11,"Not priced (at cost)",IF(NOT(ISNUMBER(H30)),"Rate missing",IF(AND(G30=9,NOT(ISNUMBER(Audit!$I$82))),"Base amount missing",IF(NOT(ISNUMBER(J30)),"Exchange rate missing",IF(NOT(ISNUMBER(P30)),"Calculated — Not Independently Verified",IF(ABS(R30)&lt;=Lists!$B$44,"Verified","Error - differs by "&amp;TEXT(R30,"#,##0.00")&amp;" "&amp;I30))))))))))))</f>
        <v/>
      </c>
      <c r="R30" s="0" t="str">
        <f aca="false">IF(AND(O30=1,ISNUMBER(P30)),IF(ABS(P30-L30)&lt;=ABS(P30-M30),P30-L30,P30-M30),"")</f>
        <v/>
      </c>
      <c r="S30" s="0" t="n">
        <f aca="false">IF(AND(O30=1,ISNUMBER(Audit!$M$82),ISNUMBER(J30)),IF(H30-Audit!$M$82&gt;0.005,ROUND((H30-Audit!$M$82)*K30*(1+Y30)*J30,2),0),0)</f>
        <v>0</v>
      </c>
      <c r="T30" s="0" t="str">
        <f aca="false">Audit!$N$82&amp;""</f>
        <v/>
      </c>
      <c r="U30" s="0" t="n">
        <f aca="false">IF(B30="",0,IF(COUNTIFS($B$2:$B$51,B30,$D$2:$D$51,D30)&gt;1,1,0))</f>
        <v>0</v>
      </c>
      <c r="V30" s="0" t="str">
        <f aca="false">IF(D30="","",IFERROR(INDEX(Audit!$C$43:$C$49,MATCH(D30,Lists!$A$30:$A$36,0)),""))</f>
        <v/>
      </c>
      <c r="W30" s="0" t="n">
        <f aca="false">IF(AND(B30&lt;&gt;"",OR(F30="At cost",F30="TBC",AND(F30&lt;&gt;"If required",G30=11))),1,0)</f>
        <v>0</v>
      </c>
      <c r="X30" s="0" t="str">
        <f aca="false">IF(B30="","",IF(T30&lt;&gt;"","flag",IF(F30="","status",IF(AND(G30=0,OR(F30="Firm",F30="Estimate",AND(F30="If required",ISNUMBER(H30)))),"basis",IF(AND(OR(F30="Firm",F30="Estimate"),G30&lt;&gt;11,NOT(ISNUMBER(H30))),"rate",IF(AND(O30=0,G30=9,OR(F30="Firm",F30="Estimate"),ISNUMBER(H30)),"base",IF(OR(C30="",C30="Unclassified"),"unclass",IF(U30=1,"dup",IF(AND(Audit!$C$19="Yes",O30=1,NOT(ISNUMBER(Audit!$M$82))),"noagree","")))))))))</f>
        <v/>
      </c>
      <c r="Y30" s="0" t="n">
        <f aca="false">IF(ISNUMBER(Audit!$K$82),Audit!$K$82,0)</f>
        <v>0</v>
      </c>
      <c r="Z30" s="0" t="n">
        <f aca="false">IF(AND(F30="Firm",O30=1,ISNUMBER(J30)),L30*J30,0)</f>
        <v>0</v>
      </c>
      <c r="AE30" s="0" t="s">
        <v>323</v>
      </c>
      <c r="AF30" s="0" t="str">
        <f aca="false">IF(AND(ISNUMBER(Audit!$J$15),ISNUMBER(Audit!$C$15)),MAX(Audit!$J$15,Audit!$C$15/1000),IF(ISNUMBER(Audit!$J$15),Audit!$J$15,""))</f>
        <v/>
      </c>
      <c r="AH30" s="0" t="n">
        <v>29</v>
      </c>
      <c r="AI30" s="0" t="str">
        <f aca="false">IFERROR(SMALL($J$70:$J$470,AH30),"")</f>
        <v/>
      </c>
      <c r="AJ30" s="0" t="str">
        <f aca="false">IF(AI30="","",MATCH(AI30,$J$70:$J$470,0))</f>
        <v/>
      </c>
    </row>
    <row r="31" customFormat="false" ht="15" hidden="false" customHeight="false" outlineLevel="0" collapsed="false">
      <c r="A31" s="0" t="n">
        <v>30</v>
      </c>
      <c r="B31" s="0" t="str">
        <f aca="false">TRIM(Audit!$B$83)</f>
        <v/>
      </c>
      <c r="C31" s="0" t="str">
        <f aca="false">Audit!$C$83&amp;""</f>
        <v/>
      </c>
      <c r="D31" s="0" t="str">
        <f aca="false">IF(B31="","",IF(C31="","Other",IFERROR(INDEX(Lists!$C$4:$C$16,MATCH(C31,Lists!$A$4:$A$16,0)),"Other")))</f>
        <v/>
      </c>
      <c r="E31" s="0" t="str">
        <f aca="false">IF(B31="","",IF(C31="","Other",IFERROR(INDEX(Lists!$B$4:$B$16,MATCH(C31,Lists!$A$4:$A$16,0)),"Other")))</f>
        <v/>
      </c>
      <c r="F31" s="0" t="str">
        <f aca="false">Audit!$G$83&amp;""</f>
        <v/>
      </c>
      <c r="G31" s="0" t="n">
        <f aca="false">IFERROR(MATCH(Audit!$D$83,Lists!$E$4:$E$14,0),0)</f>
        <v>0</v>
      </c>
      <c r="H31" s="0" t="str">
        <f aca="false">IF(ISNUMBER(Audit!$E$83),Audit!$E$83,"")</f>
        <v/>
      </c>
      <c r="I31" s="0" t="n">
        <f aca="false">IF(TRIM(Audit!$F$83)="",Audit!$C$25,TRIM(Audit!$F$83))</f>
        <v>0</v>
      </c>
      <c r="J31" s="0" t="n">
        <f aca="false">IF(OR(I31=Audit!$C$25,I31=""),1,IF(AND(I31=Audit!$C$31,ISNUMBER(Audit!$J$31)),Audit!$J$31,IF(AND(I31=Audit!$C$32,ISNUMBER(Audit!$J$32)),Audit!$J$32,"")))</f>
        <v>1</v>
      </c>
      <c r="K31" s="0" t="str">
        <f aca="false">IF(B31="","",IF(ISNUMBER(Audit!$I$83),Audit!$I$83,IF(G31=0,"",CHOOSE(G31,IF(ISNUMBER(Audit!$C$26),Audit!$C$26,1),1,1,1,$AF$33,$AF$30,$AF$31,1,"",1,0))))</f>
        <v/>
      </c>
      <c r="L31" s="0" t="str">
        <f aca="false">IF(O31=1,ROUND(MAX(H31*K31,IF(ISNUMBER(Audit!$J$83),Audit!$J$83,0)),2),"")</f>
        <v/>
      </c>
      <c r="M31" s="0" t="str">
        <f aca="false">IF(O31=1,ROUND(L31*(1+Y31),2),"")</f>
        <v/>
      </c>
      <c r="N31" s="0" t="str">
        <f aca="false">IF(O31=1,IF(ISNUMBER(J31),ROUND(M31*J31,2),""),"")</f>
        <v/>
      </c>
      <c r="O31" s="0" t="n">
        <f aca="false">IF(AND(B31&lt;&gt;"",OR(F31="Firm",F31="Estimate",F31="If required"),ISNUMBER(H31),G31&gt;0,G31&lt;&gt;11,ISNUMBER(K31)),1,0)</f>
        <v>0</v>
      </c>
      <c r="P31" s="0" t="str">
        <f aca="false">IF(ISNUMBER(Audit!$L$83),Audit!$L$83,"")</f>
        <v/>
      </c>
      <c r="Q31" s="0" t="str">
        <f aca="false">IF(B31="","",IF(OR(F31="At cost",F31="TBC"),"Not priced ("&amp;F31&amp;")",IF(OR(F31="Included",F31="Excluded",F31="Not applicable"),F31,IF(F31="","Status missing",IF(AND(F31="If required",NOT(ISNUMBER(H31))),"Not priced (if required)",IF(G31=0,"Basis missing",IF(G31=11,"Not priced (at cost)",IF(NOT(ISNUMBER(H31)),"Rate missing",IF(AND(G31=9,NOT(ISNUMBER(Audit!$I$83))),"Base amount missing",IF(NOT(ISNUMBER(J31)),"Exchange rate missing",IF(NOT(ISNUMBER(P31)),"Calculated — Not Independently Verified",IF(ABS(R31)&lt;=Lists!$B$44,"Verified","Error - differs by "&amp;TEXT(R31,"#,##0.00")&amp;" "&amp;I31))))))))))))</f>
        <v/>
      </c>
      <c r="R31" s="0" t="str">
        <f aca="false">IF(AND(O31=1,ISNUMBER(P31)),IF(ABS(P31-L31)&lt;=ABS(P31-M31),P31-L31,P31-M31),"")</f>
        <v/>
      </c>
      <c r="S31" s="0" t="n">
        <f aca="false">IF(AND(O31=1,ISNUMBER(Audit!$M$83),ISNUMBER(J31)),IF(H31-Audit!$M$83&gt;0.005,ROUND((H31-Audit!$M$83)*K31*(1+Y31)*J31,2),0),0)</f>
        <v>0</v>
      </c>
      <c r="T31" s="0" t="str">
        <f aca="false">Audit!$N$83&amp;""</f>
        <v/>
      </c>
      <c r="U31" s="0" t="n">
        <f aca="false">IF(B31="",0,IF(COUNTIFS($B$2:$B$51,B31,$D$2:$D$51,D31)&gt;1,1,0))</f>
        <v>0</v>
      </c>
      <c r="V31" s="0" t="str">
        <f aca="false">IF(D31="","",IFERROR(INDEX(Audit!$C$43:$C$49,MATCH(D31,Lists!$A$30:$A$36,0)),""))</f>
        <v/>
      </c>
      <c r="W31" s="0" t="n">
        <f aca="false">IF(AND(B31&lt;&gt;"",OR(F31="At cost",F31="TBC",AND(F31&lt;&gt;"If required",G31=11))),1,0)</f>
        <v>0</v>
      </c>
      <c r="X31" s="0" t="str">
        <f aca="false">IF(B31="","",IF(T31&lt;&gt;"","flag",IF(F31="","status",IF(AND(G31=0,OR(F31="Firm",F31="Estimate",AND(F31="If required",ISNUMBER(H31)))),"basis",IF(AND(OR(F31="Firm",F31="Estimate"),G31&lt;&gt;11,NOT(ISNUMBER(H31))),"rate",IF(AND(O31=0,G31=9,OR(F31="Firm",F31="Estimate"),ISNUMBER(H31)),"base",IF(OR(C31="",C31="Unclassified"),"unclass",IF(U31=1,"dup",IF(AND(Audit!$C$19="Yes",O31=1,NOT(ISNUMBER(Audit!$M$83))),"noagree","")))))))))</f>
        <v/>
      </c>
      <c r="Y31" s="0" t="n">
        <f aca="false">IF(ISNUMBER(Audit!$K$83),Audit!$K$83,0)</f>
        <v>0</v>
      </c>
      <c r="Z31" s="0" t="n">
        <f aca="false">IF(AND(F31="Firm",O31=1,ISNUMBER(J31)),L31*J31,0)</f>
        <v>0</v>
      </c>
      <c r="AE31" s="0" t="s">
        <v>324</v>
      </c>
      <c r="AF31" s="0" t="str">
        <f aca="false">IF(NOT(ISNUMBER(Audit!$C$15)),"",IF(Audit!$J$25="Air",MAX(Audit!$C$15,IF(ISNUMBER(Audit!$J$15),Audit!$J$15*1000000/AF32,0)),Audit!$C$15))</f>
        <v/>
      </c>
      <c r="AH31" s="0" t="n">
        <v>30</v>
      </c>
      <c r="AI31" s="0" t="str">
        <f aca="false">IFERROR(SMALL($J$70:$J$470,AH31),"")</f>
        <v/>
      </c>
      <c r="AJ31" s="0" t="str">
        <f aca="false">IF(AI31="","",MATCH(AI31,$J$70:$J$470,0))</f>
        <v/>
      </c>
    </row>
    <row r="32" customFormat="false" ht="15" hidden="false" customHeight="false" outlineLevel="0" collapsed="false">
      <c r="A32" s="0" t="n">
        <v>31</v>
      </c>
      <c r="B32" s="0" t="str">
        <f aca="false">TRIM(Audit!$B$84)</f>
        <v/>
      </c>
      <c r="C32" s="0" t="str">
        <f aca="false">Audit!$C$84&amp;""</f>
        <v/>
      </c>
      <c r="D32" s="0" t="str">
        <f aca="false">IF(B32="","",IF(C32="","Other",IFERROR(INDEX(Lists!$C$4:$C$16,MATCH(C32,Lists!$A$4:$A$16,0)),"Other")))</f>
        <v/>
      </c>
      <c r="E32" s="0" t="str">
        <f aca="false">IF(B32="","",IF(C32="","Other",IFERROR(INDEX(Lists!$B$4:$B$16,MATCH(C32,Lists!$A$4:$A$16,0)),"Other")))</f>
        <v/>
      </c>
      <c r="F32" s="0" t="str">
        <f aca="false">Audit!$G$84&amp;""</f>
        <v/>
      </c>
      <c r="G32" s="0" t="n">
        <f aca="false">IFERROR(MATCH(Audit!$D$84,Lists!$E$4:$E$14,0),0)</f>
        <v>0</v>
      </c>
      <c r="H32" s="0" t="str">
        <f aca="false">IF(ISNUMBER(Audit!$E$84),Audit!$E$84,"")</f>
        <v/>
      </c>
      <c r="I32" s="0" t="n">
        <f aca="false">IF(TRIM(Audit!$F$84)="",Audit!$C$25,TRIM(Audit!$F$84))</f>
        <v>0</v>
      </c>
      <c r="J32" s="0" t="n">
        <f aca="false">IF(OR(I32=Audit!$C$25,I32=""),1,IF(AND(I32=Audit!$C$31,ISNUMBER(Audit!$J$31)),Audit!$J$31,IF(AND(I32=Audit!$C$32,ISNUMBER(Audit!$J$32)),Audit!$J$32,"")))</f>
        <v>1</v>
      </c>
      <c r="K32" s="0" t="str">
        <f aca="false">IF(B32="","",IF(ISNUMBER(Audit!$I$84),Audit!$I$84,IF(G32=0,"",CHOOSE(G32,IF(ISNUMBER(Audit!$C$26),Audit!$C$26,1),1,1,1,$AF$33,$AF$30,$AF$31,1,"",1,0))))</f>
        <v/>
      </c>
      <c r="L32" s="0" t="str">
        <f aca="false">IF(O32=1,ROUND(MAX(H32*K32,IF(ISNUMBER(Audit!$J$84),Audit!$J$84,0)),2),"")</f>
        <v/>
      </c>
      <c r="M32" s="0" t="str">
        <f aca="false">IF(O32=1,ROUND(L32*(1+Y32),2),"")</f>
        <v/>
      </c>
      <c r="N32" s="0" t="str">
        <f aca="false">IF(O32=1,IF(ISNUMBER(J32),ROUND(M32*J32,2),""),"")</f>
        <v/>
      </c>
      <c r="O32" s="0" t="n">
        <f aca="false">IF(AND(B32&lt;&gt;"",OR(F32="Firm",F32="Estimate",F32="If required"),ISNUMBER(H32),G32&gt;0,G32&lt;&gt;11,ISNUMBER(K32)),1,0)</f>
        <v>0</v>
      </c>
      <c r="P32" s="0" t="str">
        <f aca="false">IF(ISNUMBER(Audit!$L$84),Audit!$L$84,"")</f>
        <v/>
      </c>
      <c r="Q32" s="0" t="str">
        <f aca="false">IF(B32="","",IF(OR(F32="At cost",F32="TBC"),"Not priced ("&amp;F32&amp;")",IF(OR(F32="Included",F32="Excluded",F32="Not applicable"),F32,IF(F32="","Status missing",IF(AND(F32="If required",NOT(ISNUMBER(H32))),"Not priced (if required)",IF(G32=0,"Basis missing",IF(G32=11,"Not priced (at cost)",IF(NOT(ISNUMBER(H32)),"Rate missing",IF(AND(G32=9,NOT(ISNUMBER(Audit!$I$84))),"Base amount missing",IF(NOT(ISNUMBER(J32)),"Exchange rate missing",IF(NOT(ISNUMBER(P32)),"Calculated — Not Independently Verified",IF(ABS(R32)&lt;=Lists!$B$44,"Verified","Error - differs by "&amp;TEXT(R32,"#,##0.00")&amp;" "&amp;I32))))))))))))</f>
        <v/>
      </c>
      <c r="R32" s="0" t="str">
        <f aca="false">IF(AND(O32=1,ISNUMBER(P32)),IF(ABS(P32-L32)&lt;=ABS(P32-M32),P32-L32,P32-M32),"")</f>
        <v/>
      </c>
      <c r="S32" s="0" t="n">
        <f aca="false">IF(AND(O32=1,ISNUMBER(Audit!$M$84),ISNUMBER(J32)),IF(H32-Audit!$M$84&gt;0.005,ROUND((H32-Audit!$M$84)*K32*(1+Y32)*J32,2),0),0)</f>
        <v>0</v>
      </c>
      <c r="T32" s="0" t="str">
        <f aca="false">Audit!$N$84&amp;""</f>
        <v/>
      </c>
      <c r="U32" s="0" t="n">
        <f aca="false">IF(B32="",0,IF(COUNTIFS($B$2:$B$51,B32,$D$2:$D$51,D32)&gt;1,1,0))</f>
        <v>0</v>
      </c>
      <c r="V32" s="0" t="str">
        <f aca="false">IF(D32="","",IFERROR(INDEX(Audit!$C$43:$C$49,MATCH(D32,Lists!$A$30:$A$36,0)),""))</f>
        <v/>
      </c>
      <c r="W32" s="0" t="n">
        <f aca="false">IF(AND(B32&lt;&gt;"",OR(F32="At cost",F32="TBC",AND(F32&lt;&gt;"If required",G32=11))),1,0)</f>
        <v>0</v>
      </c>
      <c r="X32" s="0" t="str">
        <f aca="false">IF(B32="","",IF(T32&lt;&gt;"","flag",IF(F32="","status",IF(AND(G32=0,OR(F32="Firm",F32="Estimate",AND(F32="If required",ISNUMBER(H32)))),"basis",IF(AND(OR(F32="Firm",F32="Estimate"),G32&lt;&gt;11,NOT(ISNUMBER(H32))),"rate",IF(AND(O32=0,G32=9,OR(F32="Firm",F32="Estimate"),ISNUMBER(H32)),"base",IF(OR(C32="",C32="Unclassified"),"unclass",IF(U32=1,"dup",IF(AND(Audit!$C$19="Yes",O32=1,NOT(ISNUMBER(Audit!$M$84))),"noagree","")))))))))</f>
        <v/>
      </c>
      <c r="Y32" s="0" t="n">
        <f aca="false">IF(ISNUMBER(Audit!$K$84),Audit!$K$84,0)</f>
        <v>0</v>
      </c>
      <c r="Z32" s="0" t="n">
        <f aca="false">IF(AND(F32="Firm",O32=1,ISNUMBER(J32)),L32*J32,0)</f>
        <v>0</v>
      </c>
      <c r="AE32" s="0" t="s">
        <v>325</v>
      </c>
      <c r="AF32" s="0" t="n">
        <f aca="false">IF(ISNUMBER(Audit!$C$30),Audit!$C$30,Lists!$B$41)</f>
        <v>6000</v>
      </c>
    </row>
    <row r="33" customFormat="false" ht="15" hidden="false" customHeight="false" outlineLevel="0" collapsed="false">
      <c r="A33" s="0" t="n">
        <v>32</v>
      </c>
      <c r="B33" s="0" t="str">
        <f aca="false">TRIM(Audit!$B$85)</f>
        <v/>
      </c>
      <c r="C33" s="0" t="str">
        <f aca="false">Audit!$C$85&amp;""</f>
        <v/>
      </c>
      <c r="D33" s="0" t="str">
        <f aca="false">IF(B33="","",IF(C33="","Other",IFERROR(INDEX(Lists!$C$4:$C$16,MATCH(C33,Lists!$A$4:$A$16,0)),"Other")))</f>
        <v/>
      </c>
      <c r="E33" s="0" t="str">
        <f aca="false">IF(B33="","",IF(C33="","Other",IFERROR(INDEX(Lists!$B$4:$B$16,MATCH(C33,Lists!$A$4:$A$16,0)),"Other")))</f>
        <v/>
      </c>
      <c r="F33" s="0" t="str">
        <f aca="false">Audit!$G$85&amp;""</f>
        <v/>
      </c>
      <c r="G33" s="0" t="n">
        <f aca="false">IFERROR(MATCH(Audit!$D$85,Lists!$E$4:$E$14,0),0)</f>
        <v>0</v>
      </c>
      <c r="H33" s="0" t="str">
        <f aca="false">IF(ISNUMBER(Audit!$E$85),Audit!$E$85,"")</f>
        <v/>
      </c>
      <c r="I33" s="0" t="n">
        <f aca="false">IF(TRIM(Audit!$F$85)="",Audit!$C$25,TRIM(Audit!$F$85))</f>
        <v>0</v>
      </c>
      <c r="J33" s="0" t="n">
        <f aca="false">IF(OR(I33=Audit!$C$25,I33=""),1,IF(AND(I33=Audit!$C$31,ISNUMBER(Audit!$J$31)),Audit!$J$31,IF(AND(I33=Audit!$C$32,ISNUMBER(Audit!$J$32)),Audit!$J$32,"")))</f>
        <v>1</v>
      </c>
      <c r="K33" s="0" t="str">
        <f aca="false">IF(B33="","",IF(ISNUMBER(Audit!$I$85),Audit!$I$85,IF(G33=0,"",CHOOSE(G33,IF(ISNUMBER(Audit!$C$26),Audit!$C$26,1),1,1,1,$AF$33,$AF$30,$AF$31,1,"",1,0))))</f>
        <v/>
      </c>
      <c r="L33" s="0" t="str">
        <f aca="false">IF(O33=1,ROUND(MAX(H33*K33,IF(ISNUMBER(Audit!$J$85),Audit!$J$85,0)),2),"")</f>
        <v/>
      </c>
      <c r="M33" s="0" t="str">
        <f aca="false">IF(O33=1,ROUND(L33*(1+Y33),2),"")</f>
        <v/>
      </c>
      <c r="N33" s="0" t="str">
        <f aca="false">IF(O33=1,IF(ISNUMBER(J33),ROUND(M33*J33,2),""),"")</f>
        <v/>
      </c>
      <c r="O33" s="0" t="n">
        <f aca="false">IF(AND(B33&lt;&gt;"",OR(F33="Firm",F33="Estimate",F33="If required"),ISNUMBER(H33),G33&gt;0,G33&lt;&gt;11,ISNUMBER(K33)),1,0)</f>
        <v>0</v>
      </c>
      <c r="P33" s="0" t="str">
        <f aca="false">IF(ISNUMBER(Audit!$L$85),Audit!$L$85,"")</f>
        <v/>
      </c>
      <c r="Q33" s="0" t="str">
        <f aca="false">IF(B33="","",IF(OR(F33="At cost",F33="TBC"),"Not priced ("&amp;F33&amp;")",IF(OR(F33="Included",F33="Excluded",F33="Not applicable"),F33,IF(F33="","Status missing",IF(AND(F33="If required",NOT(ISNUMBER(H33))),"Not priced (if required)",IF(G33=0,"Basis missing",IF(G33=11,"Not priced (at cost)",IF(NOT(ISNUMBER(H33)),"Rate missing",IF(AND(G33=9,NOT(ISNUMBER(Audit!$I$85))),"Base amount missing",IF(NOT(ISNUMBER(J33)),"Exchange rate missing",IF(NOT(ISNUMBER(P33)),"Calculated — Not Independently Verified",IF(ABS(R33)&lt;=Lists!$B$44,"Verified","Error - differs by "&amp;TEXT(R33,"#,##0.00")&amp;" "&amp;I33))))))))))))</f>
        <v/>
      </c>
      <c r="R33" s="0" t="str">
        <f aca="false">IF(AND(O33=1,ISNUMBER(P33)),IF(ABS(P33-L33)&lt;=ABS(P33-M33),P33-L33,P33-M33),"")</f>
        <v/>
      </c>
      <c r="S33" s="0" t="n">
        <f aca="false">IF(AND(O33=1,ISNUMBER(Audit!$M$85),ISNUMBER(J33)),IF(H33-Audit!$M$85&gt;0.005,ROUND((H33-Audit!$M$85)*K33*(1+Y33)*J33,2),0),0)</f>
        <v>0</v>
      </c>
      <c r="T33" s="0" t="str">
        <f aca="false">Audit!$N$85&amp;""</f>
        <v/>
      </c>
      <c r="U33" s="0" t="n">
        <f aca="false">IF(B33="",0,IF(COUNTIFS($B$2:$B$51,B33,$D$2:$D$51,D33)&gt;1,1,0))</f>
        <v>0</v>
      </c>
      <c r="V33" s="0" t="str">
        <f aca="false">IF(D33="","",IFERROR(INDEX(Audit!$C$43:$C$49,MATCH(D33,Lists!$A$30:$A$36,0)),""))</f>
        <v/>
      </c>
      <c r="W33" s="0" t="n">
        <f aca="false">IF(AND(B33&lt;&gt;"",OR(F33="At cost",F33="TBC",AND(F33&lt;&gt;"If required",G33=11))),1,0)</f>
        <v>0</v>
      </c>
      <c r="X33" s="0" t="str">
        <f aca="false">IF(B33="","",IF(T33&lt;&gt;"","flag",IF(F33="","status",IF(AND(G33=0,OR(F33="Firm",F33="Estimate",AND(F33="If required",ISNUMBER(H33)))),"basis",IF(AND(OR(F33="Firm",F33="Estimate"),G33&lt;&gt;11,NOT(ISNUMBER(H33))),"rate",IF(AND(O33=0,G33=9,OR(F33="Firm",F33="Estimate"),ISNUMBER(H33)),"base",IF(OR(C33="",C33="Unclassified"),"unclass",IF(U33=1,"dup",IF(AND(Audit!$C$19="Yes",O33=1,NOT(ISNUMBER(Audit!$M$85))),"noagree","")))))))))</f>
        <v/>
      </c>
      <c r="Y33" s="0" t="n">
        <f aca="false">IF(ISNUMBER(Audit!$K$85),Audit!$K$85,0)</f>
        <v>0</v>
      </c>
      <c r="Z33" s="0" t="n">
        <f aca="false">IF(AND(F33="Firm",O33=1,ISNUMBER(J33)),L33*J33,0)</f>
        <v>0</v>
      </c>
      <c r="AE33" s="0" t="s">
        <v>326</v>
      </c>
      <c r="AF33" s="0" t="n">
        <f aca="false">IF(ISNUMBER(Audit!$J$15),Audit!$J$15,0)</f>
        <v>0</v>
      </c>
    </row>
    <row r="34" customFormat="false" ht="15" hidden="false" customHeight="false" outlineLevel="0" collapsed="false">
      <c r="A34" s="0" t="n">
        <v>33</v>
      </c>
      <c r="B34" s="0" t="str">
        <f aca="false">TRIM(Audit!$B$86)</f>
        <v/>
      </c>
      <c r="C34" s="0" t="str">
        <f aca="false">Audit!$C$86&amp;""</f>
        <v/>
      </c>
      <c r="D34" s="0" t="str">
        <f aca="false">IF(B34="","",IF(C34="","Other",IFERROR(INDEX(Lists!$C$4:$C$16,MATCH(C34,Lists!$A$4:$A$16,0)),"Other")))</f>
        <v/>
      </c>
      <c r="E34" s="0" t="str">
        <f aca="false">IF(B34="","",IF(C34="","Other",IFERROR(INDEX(Lists!$B$4:$B$16,MATCH(C34,Lists!$A$4:$A$16,0)),"Other")))</f>
        <v/>
      </c>
      <c r="F34" s="0" t="str">
        <f aca="false">Audit!$G$86&amp;""</f>
        <v/>
      </c>
      <c r="G34" s="0" t="n">
        <f aca="false">IFERROR(MATCH(Audit!$D$86,Lists!$E$4:$E$14,0),0)</f>
        <v>0</v>
      </c>
      <c r="H34" s="0" t="str">
        <f aca="false">IF(ISNUMBER(Audit!$E$86),Audit!$E$86,"")</f>
        <v/>
      </c>
      <c r="I34" s="0" t="n">
        <f aca="false">IF(TRIM(Audit!$F$86)="",Audit!$C$25,TRIM(Audit!$F$86))</f>
        <v>0</v>
      </c>
      <c r="J34" s="0" t="n">
        <f aca="false">IF(OR(I34=Audit!$C$25,I34=""),1,IF(AND(I34=Audit!$C$31,ISNUMBER(Audit!$J$31)),Audit!$J$31,IF(AND(I34=Audit!$C$32,ISNUMBER(Audit!$J$32)),Audit!$J$32,"")))</f>
        <v>1</v>
      </c>
      <c r="K34" s="0" t="str">
        <f aca="false">IF(B34="","",IF(ISNUMBER(Audit!$I$86),Audit!$I$86,IF(G34=0,"",CHOOSE(G34,IF(ISNUMBER(Audit!$C$26),Audit!$C$26,1),1,1,1,$AF$33,$AF$30,$AF$31,1,"",1,0))))</f>
        <v/>
      </c>
      <c r="L34" s="0" t="str">
        <f aca="false">IF(O34=1,ROUND(MAX(H34*K34,IF(ISNUMBER(Audit!$J$86),Audit!$J$86,0)),2),"")</f>
        <v/>
      </c>
      <c r="M34" s="0" t="str">
        <f aca="false">IF(O34=1,ROUND(L34*(1+Y34),2),"")</f>
        <v/>
      </c>
      <c r="N34" s="0" t="str">
        <f aca="false">IF(O34=1,IF(ISNUMBER(J34),ROUND(M34*J34,2),""),"")</f>
        <v/>
      </c>
      <c r="O34" s="0" t="n">
        <f aca="false">IF(AND(B34&lt;&gt;"",OR(F34="Firm",F34="Estimate",F34="If required"),ISNUMBER(H34),G34&gt;0,G34&lt;&gt;11,ISNUMBER(K34)),1,0)</f>
        <v>0</v>
      </c>
      <c r="P34" s="0" t="str">
        <f aca="false">IF(ISNUMBER(Audit!$L$86),Audit!$L$86,"")</f>
        <v/>
      </c>
      <c r="Q34" s="0" t="str">
        <f aca="false">IF(B34="","",IF(OR(F34="At cost",F34="TBC"),"Not priced ("&amp;F34&amp;")",IF(OR(F34="Included",F34="Excluded",F34="Not applicable"),F34,IF(F34="","Status missing",IF(AND(F34="If required",NOT(ISNUMBER(H34))),"Not priced (if required)",IF(G34=0,"Basis missing",IF(G34=11,"Not priced (at cost)",IF(NOT(ISNUMBER(H34)),"Rate missing",IF(AND(G34=9,NOT(ISNUMBER(Audit!$I$86))),"Base amount missing",IF(NOT(ISNUMBER(J34)),"Exchange rate missing",IF(NOT(ISNUMBER(P34)),"Calculated — Not Independently Verified",IF(ABS(R34)&lt;=Lists!$B$44,"Verified","Error - differs by "&amp;TEXT(R34,"#,##0.00")&amp;" "&amp;I34))))))))))))</f>
        <v/>
      </c>
      <c r="R34" s="0" t="str">
        <f aca="false">IF(AND(O34=1,ISNUMBER(P34)),IF(ABS(P34-L34)&lt;=ABS(P34-M34),P34-L34,P34-M34),"")</f>
        <v/>
      </c>
      <c r="S34" s="0" t="n">
        <f aca="false">IF(AND(O34=1,ISNUMBER(Audit!$M$86),ISNUMBER(J34)),IF(H34-Audit!$M$86&gt;0.005,ROUND((H34-Audit!$M$86)*K34*(1+Y34)*J34,2),0),0)</f>
        <v>0</v>
      </c>
      <c r="T34" s="0" t="str">
        <f aca="false">Audit!$N$86&amp;""</f>
        <v/>
      </c>
      <c r="U34" s="0" t="n">
        <f aca="false">IF(B34="",0,IF(COUNTIFS($B$2:$B$51,B34,$D$2:$D$51,D34)&gt;1,1,0))</f>
        <v>0</v>
      </c>
      <c r="V34" s="0" t="str">
        <f aca="false">IF(D34="","",IFERROR(INDEX(Audit!$C$43:$C$49,MATCH(D34,Lists!$A$30:$A$36,0)),""))</f>
        <v/>
      </c>
      <c r="W34" s="0" t="n">
        <f aca="false">IF(AND(B34&lt;&gt;"",OR(F34="At cost",F34="TBC",AND(F34&lt;&gt;"If required",G34=11))),1,0)</f>
        <v>0</v>
      </c>
      <c r="X34" s="0" t="str">
        <f aca="false">IF(B34="","",IF(T34&lt;&gt;"","flag",IF(F34="","status",IF(AND(G34=0,OR(F34="Firm",F34="Estimate",AND(F34="If required",ISNUMBER(H34)))),"basis",IF(AND(OR(F34="Firm",F34="Estimate"),G34&lt;&gt;11,NOT(ISNUMBER(H34))),"rate",IF(AND(O34=0,G34=9,OR(F34="Firm",F34="Estimate"),ISNUMBER(H34)),"base",IF(OR(C34="",C34="Unclassified"),"unclass",IF(U34=1,"dup",IF(AND(Audit!$C$19="Yes",O34=1,NOT(ISNUMBER(Audit!$M$86))),"noagree","")))))))))</f>
        <v/>
      </c>
      <c r="Y34" s="0" t="n">
        <f aca="false">IF(ISNUMBER(Audit!$K$86),Audit!$K$86,0)</f>
        <v>0</v>
      </c>
      <c r="Z34" s="0" t="n">
        <f aca="false">IF(AND(F34="Firm",O34=1,ISNUMBER(J34)),L34*J34,0)</f>
        <v>0</v>
      </c>
      <c r="AE34" s="0" t="s">
        <v>327</v>
      </c>
      <c r="AF34" s="0" t="n">
        <f aca="false">IF(AND(Audit!$C$23="",AF7=0),1,0)</f>
        <v>1</v>
      </c>
    </row>
    <row r="35" customFormat="false" ht="15" hidden="false" customHeight="false" outlineLevel="0" collapsed="false">
      <c r="A35" s="0" t="n">
        <v>34</v>
      </c>
      <c r="B35" s="0" t="str">
        <f aca="false">TRIM(Audit!$B$87)</f>
        <v/>
      </c>
      <c r="C35" s="0" t="str">
        <f aca="false">Audit!$C$87&amp;""</f>
        <v/>
      </c>
      <c r="D35" s="0" t="str">
        <f aca="false">IF(B35="","",IF(C35="","Other",IFERROR(INDEX(Lists!$C$4:$C$16,MATCH(C35,Lists!$A$4:$A$16,0)),"Other")))</f>
        <v/>
      </c>
      <c r="E35" s="0" t="str">
        <f aca="false">IF(B35="","",IF(C35="","Other",IFERROR(INDEX(Lists!$B$4:$B$16,MATCH(C35,Lists!$A$4:$A$16,0)),"Other")))</f>
        <v/>
      </c>
      <c r="F35" s="0" t="str">
        <f aca="false">Audit!$G$87&amp;""</f>
        <v/>
      </c>
      <c r="G35" s="0" t="n">
        <f aca="false">IFERROR(MATCH(Audit!$D$87,Lists!$E$4:$E$14,0),0)</f>
        <v>0</v>
      </c>
      <c r="H35" s="0" t="str">
        <f aca="false">IF(ISNUMBER(Audit!$E$87),Audit!$E$87,"")</f>
        <v/>
      </c>
      <c r="I35" s="0" t="n">
        <f aca="false">IF(TRIM(Audit!$F$87)="",Audit!$C$25,TRIM(Audit!$F$87))</f>
        <v>0</v>
      </c>
      <c r="J35" s="0" t="n">
        <f aca="false">IF(OR(I35=Audit!$C$25,I35=""),1,IF(AND(I35=Audit!$C$31,ISNUMBER(Audit!$J$31)),Audit!$J$31,IF(AND(I35=Audit!$C$32,ISNUMBER(Audit!$J$32)),Audit!$J$32,"")))</f>
        <v>1</v>
      </c>
      <c r="K35" s="0" t="str">
        <f aca="false">IF(B35="","",IF(ISNUMBER(Audit!$I$87),Audit!$I$87,IF(G35=0,"",CHOOSE(G35,IF(ISNUMBER(Audit!$C$26),Audit!$C$26,1),1,1,1,$AF$33,$AF$30,$AF$31,1,"",1,0))))</f>
        <v/>
      </c>
      <c r="L35" s="0" t="str">
        <f aca="false">IF(O35=1,ROUND(MAX(H35*K35,IF(ISNUMBER(Audit!$J$87),Audit!$J$87,0)),2),"")</f>
        <v/>
      </c>
      <c r="M35" s="0" t="str">
        <f aca="false">IF(O35=1,ROUND(L35*(1+Y35),2),"")</f>
        <v/>
      </c>
      <c r="N35" s="0" t="str">
        <f aca="false">IF(O35=1,IF(ISNUMBER(J35),ROUND(M35*J35,2),""),"")</f>
        <v/>
      </c>
      <c r="O35" s="0" t="n">
        <f aca="false">IF(AND(B35&lt;&gt;"",OR(F35="Firm",F35="Estimate",F35="If required"),ISNUMBER(H35),G35&gt;0,G35&lt;&gt;11,ISNUMBER(K35)),1,0)</f>
        <v>0</v>
      </c>
      <c r="P35" s="0" t="str">
        <f aca="false">IF(ISNUMBER(Audit!$L$87),Audit!$L$87,"")</f>
        <v/>
      </c>
      <c r="Q35" s="0" t="str">
        <f aca="false">IF(B35="","",IF(OR(F35="At cost",F35="TBC"),"Not priced ("&amp;F35&amp;")",IF(OR(F35="Included",F35="Excluded",F35="Not applicable"),F35,IF(F35="","Status missing",IF(AND(F35="If required",NOT(ISNUMBER(H35))),"Not priced (if required)",IF(G35=0,"Basis missing",IF(G35=11,"Not priced (at cost)",IF(NOT(ISNUMBER(H35)),"Rate missing",IF(AND(G35=9,NOT(ISNUMBER(Audit!$I$87))),"Base amount missing",IF(NOT(ISNUMBER(J35)),"Exchange rate missing",IF(NOT(ISNUMBER(P35)),"Calculated — Not Independently Verified",IF(ABS(R35)&lt;=Lists!$B$44,"Verified","Error - differs by "&amp;TEXT(R35,"#,##0.00")&amp;" "&amp;I35))))))))))))</f>
        <v/>
      </c>
      <c r="R35" s="0" t="str">
        <f aca="false">IF(AND(O35=1,ISNUMBER(P35)),IF(ABS(P35-L35)&lt;=ABS(P35-M35),P35-L35,P35-M35),"")</f>
        <v/>
      </c>
      <c r="S35" s="0" t="n">
        <f aca="false">IF(AND(O35=1,ISNUMBER(Audit!$M$87),ISNUMBER(J35)),IF(H35-Audit!$M$87&gt;0.005,ROUND((H35-Audit!$M$87)*K35*(1+Y35)*J35,2),0),0)</f>
        <v>0</v>
      </c>
      <c r="T35" s="0" t="str">
        <f aca="false">Audit!$N$87&amp;""</f>
        <v/>
      </c>
      <c r="U35" s="0" t="n">
        <f aca="false">IF(B35="",0,IF(COUNTIFS($B$2:$B$51,B35,$D$2:$D$51,D35)&gt;1,1,0))</f>
        <v>0</v>
      </c>
      <c r="V35" s="0" t="str">
        <f aca="false">IF(D35="","",IFERROR(INDEX(Audit!$C$43:$C$49,MATCH(D35,Lists!$A$30:$A$36,0)),""))</f>
        <v/>
      </c>
      <c r="W35" s="0" t="n">
        <f aca="false">IF(AND(B35&lt;&gt;"",OR(F35="At cost",F35="TBC",AND(F35&lt;&gt;"If required",G35=11))),1,0)</f>
        <v>0</v>
      </c>
      <c r="X35" s="0" t="str">
        <f aca="false">IF(B35="","",IF(T35&lt;&gt;"","flag",IF(F35="","status",IF(AND(G35=0,OR(F35="Firm",F35="Estimate",AND(F35="If required",ISNUMBER(H35)))),"basis",IF(AND(OR(F35="Firm",F35="Estimate"),G35&lt;&gt;11,NOT(ISNUMBER(H35))),"rate",IF(AND(O35=0,G35=9,OR(F35="Firm",F35="Estimate"),ISNUMBER(H35)),"base",IF(OR(C35="",C35="Unclassified"),"unclass",IF(U35=1,"dup",IF(AND(Audit!$C$19="Yes",O35=1,NOT(ISNUMBER(Audit!$M$87))),"noagree","")))))))))</f>
        <v/>
      </c>
      <c r="Y35" s="0" t="n">
        <f aca="false">IF(ISNUMBER(Audit!$K$87),Audit!$K$87,0)</f>
        <v>0</v>
      </c>
      <c r="Z35" s="0" t="n">
        <f aca="false">IF(AND(F35="Firm",O35=1,ISNUMBER(J35)),L35*J35,0)</f>
        <v>0</v>
      </c>
    </row>
    <row r="36" customFormat="false" ht="15" hidden="false" customHeight="false" outlineLevel="0" collapsed="false">
      <c r="A36" s="0" t="n">
        <v>35</v>
      </c>
      <c r="B36" s="0" t="str">
        <f aca="false">TRIM(Audit!$B$88)</f>
        <v/>
      </c>
      <c r="C36" s="0" t="str">
        <f aca="false">Audit!$C$88&amp;""</f>
        <v/>
      </c>
      <c r="D36" s="0" t="str">
        <f aca="false">IF(B36="","",IF(C36="","Other",IFERROR(INDEX(Lists!$C$4:$C$16,MATCH(C36,Lists!$A$4:$A$16,0)),"Other")))</f>
        <v/>
      </c>
      <c r="E36" s="0" t="str">
        <f aca="false">IF(B36="","",IF(C36="","Other",IFERROR(INDEX(Lists!$B$4:$B$16,MATCH(C36,Lists!$A$4:$A$16,0)),"Other")))</f>
        <v/>
      </c>
      <c r="F36" s="0" t="str">
        <f aca="false">Audit!$G$88&amp;""</f>
        <v/>
      </c>
      <c r="G36" s="0" t="n">
        <f aca="false">IFERROR(MATCH(Audit!$D$88,Lists!$E$4:$E$14,0),0)</f>
        <v>0</v>
      </c>
      <c r="H36" s="0" t="str">
        <f aca="false">IF(ISNUMBER(Audit!$E$88),Audit!$E$88,"")</f>
        <v/>
      </c>
      <c r="I36" s="0" t="n">
        <f aca="false">IF(TRIM(Audit!$F$88)="",Audit!$C$25,TRIM(Audit!$F$88))</f>
        <v>0</v>
      </c>
      <c r="J36" s="0" t="n">
        <f aca="false">IF(OR(I36=Audit!$C$25,I36=""),1,IF(AND(I36=Audit!$C$31,ISNUMBER(Audit!$J$31)),Audit!$J$31,IF(AND(I36=Audit!$C$32,ISNUMBER(Audit!$J$32)),Audit!$J$32,"")))</f>
        <v>1</v>
      </c>
      <c r="K36" s="0" t="str">
        <f aca="false">IF(B36="","",IF(ISNUMBER(Audit!$I$88),Audit!$I$88,IF(G36=0,"",CHOOSE(G36,IF(ISNUMBER(Audit!$C$26),Audit!$C$26,1),1,1,1,$AF$33,$AF$30,$AF$31,1,"",1,0))))</f>
        <v/>
      </c>
      <c r="L36" s="0" t="str">
        <f aca="false">IF(O36=1,ROUND(MAX(H36*K36,IF(ISNUMBER(Audit!$J$88),Audit!$J$88,0)),2),"")</f>
        <v/>
      </c>
      <c r="M36" s="0" t="str">
        <f aca="false">IF(O36=1,ROUND(L36*(1+Y36),2),"")</f>
        <v/>
      </c>
      <c r="N36" s="0" t="str">
        <f aca="false">IF(O36=1,IF(ISNUMBER(J36),ROUND(M36*J36,2),""),"")</f>
        <v/>
      </c>
      <c r="O36" s="0" t="n">
        <f aca="false">IF(AND(B36&lt;&gt;"",OR(F36="Firm",F36="Estimate",F36="If required"),ISNUMBER(H36),G36&gt;0,G36&lt;&gt;11,ISNUMBER(K36)),1,0)</f>
        <v>0</v>
      </c>
      <c r="P36" s="0" t="str">
        <f aca="false">IF(ISNUMBER(Audit!$L$88),Audit!$L$88,"")</f>
        <v/>
      </c>
      <c r="Q36" s="0" t="str">
        <f aca="false">IF(B36="","",IF(OR(F36="At cost",F36="TBC"),"Not priced ("&amp;F36&amp;")",IF(OR(F36="Included",F36="Excluded",F36="Not applicable"),F36,IF(F36="","Status missing",IF(AND(F36="If required",NOT(ISNUMBER(H36))),"Not priced (if required)",IF(G36=0,"Basis missing",IF(G36=11,"Not priced (at cost)",IF(NOT(ISNUMBER(H36)),"Rate missing",IF(AND(G36=9,NOT(ISNUMBER(Audit!$I$88))),"Base amount missing",IF(NOT(ISNUMBER(J36)),"Exchange rate missing",IF(NOT(ISNUMBER(P36)),"Calculated — Not Independently Verified",IF(ABS(R36)&lt;=Lists!$B$44,"Verified","Error - differs by "&amp;TEXT(R36,"#,##0.00")&amp;" "&amp;I36))))))))))))</f>
        <v/>
      </c>
      <c r="R36" s="0" t="str">
        <f aca="false">IF(AND(O36=1,ISNUMBER(P36)),IF(ABS(P36-L36)&lt;=ABS(P36-M36),P36-L36,P36-M36),"")</f>
        <v/>
      </c>
      <c r="S36" s="0" t="n">
        <f aca="false">IF(AND(O36=1,ISNUMBER(Audit!$M$88),ISNUMBER(J36)),IF(H36-Audit!$M$88&gt;0.005,ROUND((H36-Audit!$M$88)*K36*(1+Y36)*J36,2),0),0)</f>
        <v>0</v>
      </c>
      <c r="T36" s="0" t="str">
        <f aca="false">Audit!$N$88&amp;""</f>
        <v/>
      </c>
      <c r="U36" s="0" t="n">
        <f aca="false">IF(B36="",0,IF(COUNTIFS($B$2:$B$51,B36,$D$2:$D$51,D36)&gt;1,1,0))</f>
        <v>0</v>
      </c>
      <c r="V36" s="0" t="str">
        <f aca="false">IF(D36="","",IFERROR(INDEX(Audit!$C$43:$C$49,MATCH(D36,Lists!$A$30:$A$36,0)),""))</f>
        <v/>
      </c>
      <c r="W36" s="0" t="n">
        <f aca="false">IF(AND(B36&lt;&gt;"",OR(F36="At cost",F36="TBC",AND(F36&lt;&gt;"If required",G36=11))),1,0)</f>
        <v>0</v>
      </c>
      <c r="X36" s="0" t="str">
        <f aca="false">IF(B36="","",IF(T36&lt;&gt;"","flag",IF(F36="","status",IF(AND(G36=0,OR(F36="Firm",F36="Estimate",AND(F36="If required",ISNUMBER(H36)))),"basis",IF(AND(OR(F36="Firm",F36="Estimate"),G36&lt;&gt;11,NOT(ISNUMBER(H36))),"rate",IF(AND(O36=0,G36=9,OR(F36="Firm",F36="Estimate"),ISNUMBER(H36)),"base",IF(OR(C36="",C36="Unclassified"),"unclass",IF(U36=1,"dup",IF(AND(Audit!$C$19="Yes",O36=1,NOT(ISNUMBER(Audit!$M$88))),"noagree","")))))))))</f>
        <v/>
      </c>
      <c r="Y36" s="0" t="n">
        <f aca="false">IF(ISNUMBER(Audit!$K$88),Audit!$K$88,0)</f>
        <v>0</v>
      </c>
      <c r="Z36" s="0" t="n">
        <f aca="false">IF(AND(F36="Firm",O36=1,ISNUMBER(J36)),L36*J36,0)</f>
        <v>0</v>
      </c>
    </row>
    <row r="37" customFormat="false" ht="15" hidden="false" customHeight="false" outlineLevel="0" collapsed="false">
      <c r="A37" s="0" t="n">
        <v>36</v>
      </c>
      <c r="B37" s="0" t="str">
        <f aca="false">TRIM(Audit!$B$89)</f>
        <v/>
      </c>
      <c r="C37" s="0" t="str">
        <f aca="false">Audit!$C$89&amp;""</f>
        <v/>
      </c>
      <c r="D37" s="0" t="str">
        <f aca="false">IF(B37="","",IF(C37="","Other",IFERROR(INDEX(Lists!$C$4:$C$16,MATCH(C37,Lists!$A$4:$A$16,0)),"Other")))</f>
        <v/>
      </c>
      <c r="E37" s="0" t="str">
        <f aca="false">IF(B37="","",IF(C37="","Other",IFERROR(INDEX(Lists!$B$4:$B$16,MATCH(C37,Lists!$A$4:$A$16,0)),"Other")))</f>
        <v/>
      </c>
      <c r="F37" s="0" t="str">
        <f aca="false">Audit!$G$89&amp;""</f>
        <v/>
      </c>
      <c r="G37" s="0" t="n">
        <f aca="false">IFERROR(MATCH(Audit!$D$89,Lists!$E$4:$E$14,0),0)</f>
        <v>0</v>
      </c>
      <c r="H37" s="0" t="str">
        <f aca="false">IF(ISNUMBER(Audit!$E$89),Audit!$E$89,"")</f>
        <v/>
      </c>
      <c r="I37" s="0" t="n">
        <f aca="false">IF(TRIM(Audit!$F$89)="",Audit!$C$25,TRIM(Audit!$F$89))</f>
        <v>0</v>
      </c>
      <c r="J37" s="0" t="n">
        <f aca="false">IF(OR(I37=Audit!$C$25,I37=""),1,IF(AND(I37=Audit!$C$31,ISNUMBER(Audit!$J$31)),Audit!$J$31,IF(AND(I37=Audit!$C$32,ISNUMBER(Audit!$J$32)),Audit!$J$32,"")))</f>
        <v>1</v>
      </c>
      <c r="K37" s="0" t="str">
        <f aca="false">IF(B37="","",IF(ISNUMBER(Audit!$I$89),Audit!$I$89,IF(G37=0,"",CHOOSE(G37,IF(ISNUMBER(Audit!$C$26),Audit!$C$26,1),1,1,1,$AF$33,$AF$30,$AF$31,1,"",1,0))))</f>
        <v/>
      </c>
      <c r="L37" s="0" t="str">
        <f aca="false">IF(O37=1,ROUND(MAX(H37*K37,IF(ISNUMBER(Audit!$J$89),Audit!$J$89,0)),2),"")</f>
        <v/>
      </c>
      <c r="M37" s="0" t="str">
        <f aca="false">IF(O37=1,ROUND(L37*(1+Y37),2),"")</f>
        <v/>
      </c>
      <c r="N37" s="0" t="str">
        <f aca="false">IF(O37=1,IF(ISNUMBER(J37),ROUND(M37*J37,2),""),"")</f>
        <v/>
      </c>
      <c r="O37" s="0" t="n">
        <f aca="false">IF(AND(B37&lt;&gt;"",OR(F37="Firm",F37="Estimate",F37="If required"),ISNUMBER(H37),G37&gt;0,G37&lt;&gt;11,ISNUMBER(K37)),1,0)</f>
        <v>0</v>
      </c>
      <c r="P37" s="0" t="str">
        <f aca="false">IF(ISNUMBER(Audit!$L$89),Audit!$L$89,"")</f>
        <v/>
      </c>
      <c r="Q37" s="0" t="str">
        <f aca="false">IF(B37="","",IF(OR(F37="At cost",F37="TBC"),"Not priced ("&amp;F37&amp;")",IF(OR(F37="Included",F37="Excluded",F37="Not applicable"),F37,IF(F37="","Status missing",IF(AND(F37="If required",NOT(ISNUMBER(H37))),"Not priced (if required)",IF(G37=0,"Basis missing",IF(G37=11,"Not priced (at cost)",IF(NOT(ISNUMBER(H37)),"Rate missing",IF(AND(G37=9,NOT(ISNUMBER(Audit!$I$89))),"Base amount missing",IF(NOT(ISNUMBER(J37)),"Exchange rate missing",IF(NOT(ISNUMBER(P37)),"Calculated — Not Independently Verified",IF(ABS(R37)&lt;=Lists!$B$44,"Verified","Error - differs by "&amp;TEXT(R37,"#,##0.00")&amp;" "&amp;I37))))))))))))</f>
        <v/>
      </c>
      <c r="R37" s="0" t="str">
        <f aca="false">IF(AND(O37=1,ISNUMBER(P37)),IF(ABS(P37-L37)&lt;=ABS(P37-M37),P37-L37,P37-M37),"")</f>
        <v/>
      </c>
      <c r="S37" s="0" t="n">
        <f aca="false">IF(AND(O37=1,ISNUMBER(Audit!$M$89),ISNUMBER(J37)),IF(H37-Audit!$M$89&gt;0.005,ROUND((H37-Audit!$M$89)*K37*(1+Y37)*J37,2),0),0)</f>
        <v>0</v>
      </c>
      <c r="T37" s="0" t="str">
        <f aca="false">Audit!$N$89&amp;""</f>
        <v/>
      </c>
      <c r="U37" s="0" t="n">
        <f aca="false">IF(B37="",0,IF(COUNTIFS($B$2:$B$51,B37,$D$2:$D$51,D37)&gt;1,1,0))</f>
        <v>0</v>
      </c>
      <c r="V37" s="0" t="str">
        <f aca="false">IF(D37="","",IFERROR(INDEX(Audit!$C$43:$C$49,MATCH(D37,Lists!$A$30:$A$36,0)),""))</f>
        <v/>
      </c>
      <c r="W37" s="0" t="n">
        <f aca="false">IF(AND(B37&lt;&gt;"",OR(F37="At cost",F37="TBC",AND(F37&lt;&gt;"If required",G37=11))),1,0)</f>
        <v>0</v>
      </c>
      <c r="X37" s="0" t="str">
        <f aca="false">IF(B37="","",IF(T37&lt;&gt;"","flag",IF(F37="","status",IF(AND(G37=0,OR(F37="Firm",F37="Estimate",AND(F37="If required",ISNUMBER(H37)))),"basis",IF(AND(OR(F37="Firm",F37="Estimate"),G37&lt;&gt;11,NOT(ISNUMBER(H37))),"rate",IF(AND(O37=0,G37=9,OR(F37="Firm",F37="Estimate"),ISNUMBER(H37)),"base",IF(OR(C37="",C37="Unclassified"),"unclass",IF(U37=1,"dup",IF(AND(Audit!$C$19="Yes",O37=1,NOT(ISNUMBER(Audit!$M$89))),"noagree","")))))))))</f>
        <v/>
      </c>
      <c r="Y37" s="0" t="n">
        <f aca="false">IF(ISNUMBER(Audit!$K$89),Audit!$K$89,0)</f>
        <v>0</v>
      </c>
      <c r="Z37" s="0" t="n">
        <f aca="false">IF(AND(F37="Firm",O37=1,ISNUMBER(J37)),L37*J37,0)</f>
        <v>0</v>
      </c>
    </row>
    <row r="38" customFormat="false" ht="15" hidden="false" customHeight="false" outlineLevel="0" collapsed="false">
      <c r="A38" s="0" t="n">
        <v>37</v>
      </c>
      <c r="B38" s="0" t="str">
        <f aca="false">TRIM(Audit!$B$90)</f>
        <v/>
      </c>
      <c r="C38" s="0" t="str">
        <f aca="false">Audit!$C$90&amp;""</f>
        <v/>
      </c>
      <c r="D38" s="0" t="str">
        <f aca="false">IF(B38="","",IF(C38="","Other",IFERROR(INDEX(Lists!$C$4:$C$16,MATCH(C38,Lists!$A$4:$A$16,0)),"Other")))</f>
        <v/>
      </c>
      <c r="E38" s="0" t="str">
        <f aca="false">IF(B38="","",IF(C38="","Other",IFERROR(INDEX(Lists!$B$4:$B$16,MATCH(C38,Lists!$A$4:$A$16,0)),"Other")))</f>
        <v/>
      </c>
      <c r="F38" s="0" t="str">
        <f aca="false">Audit!$G$90&amp;""</f>
        <v/>
      </c>
      <c r="G38" s="0" t="n">
        <f aca="false">IFERROR(MATCH(Audit!$D$90,Lists!$E$4:$E$14,0),0)</f>
        <v>0</v>
      </c>
      <c r="H38" s="0" t="str">
        <f aca="false">IF(ISNUMBER(Audit!$E$90),Audit!$E$90,"")</f>
        <v/>
      </c>
      <c r="I38" s="0" t="n">
        <f aca="false">IF(TRIM(Audit!$F$90)="",Audit!$C$25,TRIM(Audit!$F$90))</f>
        <v>0</v>
      </c>
      <c r="J38" s="0" t="n">
        <f aca="false">IF(OR(I38=Audit!$C$25,I38=""),1,IF(AND(I38=Audit!$C$31,ISNUMBER(Audit!$J$31)),Audit!$J$31,IF(AND(I38=Audit!$C$32,ISNUMBER(Audit!$J$32)),Audit!$J$32,"")))</f>
        <v>1</v>
      </c>
      <c r="K38" s="0" t="str">
        <f aca="false">IF(B38="","",IF(ISNUMBER(Audit!$I$90),Audit!$I$90,IF(G38=0,"",CHOOSE(G38,IF(ISNUMBER(Audit!$C$26),Audit!$C$26,1),1,1,1,$AF$33,$AF$30,$AF$31,1,"",1,0))))</f>
        <v/>
      </c>
      <c r="L38" s="0" t="str">
        <f aca="false">IF(O38=1,ROUND(MAX(H38*K38,IF(ISNUMBER(Audit!$J$90),Audit!$J$90,0)),2),"")</f>
        <v/>
      </c>
      <c r="M38" s="0" t="str">
        <f aca="false">IF(O38=1,ROUND(L38*(1+Y38),2),"")</f>
        <v/>
      </c>
      <c r="N38" s="0" t="str">
        <f aca="false">IF(O38=1,IF(ISNUMBER(J38),ROUND(M38*J38,2),""),"")</f>
        <v/>
      </c>
      <c r="O38" s="0" t="n">
        <f aca="false">IF(AND(B38&lt;&gt;"",OR(F38="Firm",F38="Estimate",F38="If required"),ISNUMBER(H38),G38&gt;0,G38&lt;&gt;11,ISNUMBER(K38)),1,0)</f>
        <v>0</v>
      </c>
      <c r="P38" s="0" t="str">
        <f aca="false">IF(ISNUMBER(Audit!$L$90),Audit!$L$90,"")</f>
        <v/>
      </c>
      <c r="Q38" s="0" t="str">
        <f aca="false">IF(B38="","",IF(OR(F38="At cost",F38="TBC"),"Not priced ("&amp;F38&amp;")",IF(OR(F38="Included",F38="Excluded",F38="Not applicable"),F38,IF(F38="","Status missing",IF(AND(F38="If required",NOT(ISNUMBER(H38))),"Not priced (if required)",IF(G38=0,"Basis missing",IF(G38=11,"Not priced (at cost)",IF(NOT(ISNUMBER(H38)),"Rate missing",IF(AND(G38=9,NOT(ISNUMBER(Audit!$I$90))),"Base amount missing",IF(NOT(ISNUMBER(J38)),"Exchange rate missing",IF(NOT(ISNUMBER(P38)),"Calculated — Not Independently Verified",IF(ABS(R38)&lt;=Lists!$B$44,"Verified","Error - differs by "&amp;TEXT(R38,"#,##0.00")&amp;" "&amp;I38))))))))))))</f>
        <v/>
      </c>
      <c r="R38" s="0" t="str">
        <f aca="false">IF(AND(O38=1,ISNUMBER(P38)),IF(ABS(P38-L38)&lt;=ABS(P38-M38),P38-L38,P38-M38),"")</f>
        <v/>
      </c>
      <c r="S38" s="0" t="n">
        <f aca="false">IF(AND(O38=1,ISNUMBER(Audit!$M$90),ISNUMBER(J38)),IF(H38-Audit!$M$90&gt;0.005,ROUND((H38-Audit!$M$90)*K38*(1+Y38)*J38,2),0),0)</f>
        <v>0</v>
      </c>
      <c r="T38" s="0" t="str">
        <f aca="false">Audit!$N$90&amp;""</f>
        <v/>
      </c>
      <c r="U38" s="0" t="n">
        <f aca="false">IF(B38="",0,IF(COUNTIFS($B$2:$B$51,B38,$D$2:$D$51,D38)&gt;1,1,0))</f>
        <v>0</v>
      </c>
      <c r="V38" s="0" t="str">
        <f aca="false">IF(D38="","",IFERROR(INDEX(Audit!$C$43:$C$49,MATCH(D38,Lists!$A$30:$A$36,0)),""))</f>
        <v/>
      </c>
      <c r="W38" s="0" t="n">
        <f aca="false">IF(AND(B38&lt;&gt;"",OR(F38="At cost",F38="TBC",AND(F38&lt;&gt;"If required",G38=11))),1,0)</f>
        <v>0</v>
      </c>
      <c r="X38" s="0" t="str">
        <f aca="false">IF(B38="","",IF(T38&lt;&gt;"","flag",IF(F38="","status",IF(AND(G38=0,OR(F38="Firm",F38="Estimate",AND(F38="If required",ISNUMBER(H38)))),"basis",IF(AND(OR(F38="Firm",F38="Estimate"),G38&lt;&gt;11,NOT(ISNUMBER(H38))),"rate",IF(AND(O38=0,G38=9,OR(F38="Firm",F38="Estimate"),ISNUMBER(H38)),"base",IF(OR(C38="",C38="Unclassified"),"unclass",IF(U38=1,"dup",IF(AND(Audit!$C$19="Yes",O38=1,NOT(ISNUMBER(Audit!$M$90))),"noagree","")))))))))</f>
        <v/>
      </c>
      <c r="Y38" s="0" t="n">
        <f aca="false">IF(ISNUMBER(Audit!$K$90),Audit!$K$90,0)</f>
        <v>0</v>
      </c>
      <c r="Z38" s="0" t="n">
        <f aca="false">IF(AND(F38="Firm",O38=1,ISNUMBER(J38)),L38*J38,0)</f>
        <v>0</v>
      </c>
    </row>
    <row r="39" customFormat="false" ht="15" hidden="false" customHeight="false" outlineLevel="0" collapsed="false">
      <c r="A39" s="0" t="n">
        <v>38</v>
      </c>
      <c r="B39" s="0" t="str">
        <f aca="false">TRIM(Audit!$B$91)</f>
        <v/>
      </c>
      <c r="C39" s="0" t="str">
        <f aca="false">Audit!$C$91&amp;""</f>
        <v/>
      </c>
      <c r="D39" s="0" t="str">
        <f aca="false">IF(B39="","",IF(C39="","Other",IFERROR(INDEX(Lists!$C$4:$C$16,MATCH(C39,Lists!$A$4:$A$16,0)),"Other")))</f>
        <v/>
      </c>
      <c r="E39" s="0" t="str">
        <f aca="false">IF(B39="","",IF(C39="","Other",IFERROR(INDEX(Lists!$B$4:$B$16,MATCH(C39,Lists!$A$4:$A$16,0)),"Other")))</f>
        <v/>
      </c>
      <c r="F39" s="0" t="str">
        <f aca="false">Audit!$G$91&amp;""</f>
        <v/>
      </c>
      <c r="G39" s="0" t="n">
        <f aca="false">IFERROR(MATCH(Audit!$D$91,Lists!$E$4:$E$14,0),0)</f>
        <v>0</v>
      </c>
      <c r="H39" s="0" t="str">
        <f aca="false">IF(ISNUMBER(Audit!$E$91),Audit!$E$91,"")</f>
        <v/>
      </c>
      <c r="I39" s="0" t="n">
        <f aca="false">IF(TRIM(Audit!$F$91)="",Audit!$C$25,TRIM(Audit!$F$91))</f>
        <v>0</v>
      </c>
      <c r="J39" s="0" t="n">
        <f aca="false">IF(OR(I39=Audit!$C$25,I39=""),1,IF(AND(I39=Audit!$C$31,ISNUMBER(Audit!$J$31)),Audit!$J$31,IF(AND(I39=Audit!$C$32,ISNUMBER(Audit!$J$32)),Audit!$J$32,"")))</f>
        <v>1</v>
      </c>
      <c r="K39" s="0" t="str">
        <f aca="false">IF(B39="","",IF(ISNUMBER(Audit!$I$91),Audit!$I$91,IF(G39=0,"",CHOOSE(G39,IF(ISNUMBER(Audit!$C$26),Audit!$C$26,1),1,1,1,$AF$33,$AF$30,$AF$31,1,"",1,0))))</f>
        <v/>
      </c>
      <c r="L39" s="0" t="str">
        <f aca="false">IF(O39=1,ROUND(MAX(H39*K39,IF(ISNUMBER(Audit!$J$91),Audit!$J$91,0)),2),"")</f>
        <v/>
      </c>
      <c r="M39" s="0" t="str">
        <f aca="false">IF(O39=1,ROUND(L39*(1+Y39),2),"")</f>
        <v/>
      </c>
      <c r="N39" s="0" t="str">
        <f aca="false">IF(O39=1,IF(ISNUMBER(J39),ROUND(M39*J39,2),""),"")</f>
        <v/>
      </c>
      <c r="O39" s="0" t="n">
        <f aca="false">IF(AND(B39&lt;&gt;"",OR(F39="Firm",F39="Estimate",F39="If required"),ISNUMBER(H39),G39&gt;0,G39&lt;&gt;11,ISNUMBER(K39)),1,0)</f>
        <v>0</v>
      </c>
      <c r="P39" s="0" t="str">
        <f aca="false">IF(ISNUMBER(Audit!$L$91),Audit!$L$91,"")</f>
        <v/>
      </c>
      <c r="Q39" s="0" t="str">
        <f aca="false">IF(B39="","",IF(OR(F39="At cost",F39="TBC"),"Not priced ("&amp;F39&amp;")",IF(OR(F39="Included",F39="Excluded",F39="Not applicable"),F39,IF(F39="","Status missing",IF(AND(F39="If required",NOT(ISNUMBER(H39))),"Not priced (if required)",IF(G39=0,"Basis missing",IF(G39=11,"Not priced (at cost)",IF(NOT(ISNUMBER(H39)),"Rate missing",IF(AND(G39=9,NOT(ISNUMBER(Audit!$I$91))),"Base amount missing",IF(NOT(ISNUMBER(J39)),"Exchange rate missing",IF(NOT(ISNUMBER(P39)),"Calculated — Not Independently Verified",IF(ABS(R39)&lt;=Lists!$B$44,"Verified","Error - differs by "&amp;TEXT(R39,"#,##0.00")&amp;" "&amp;I39))))))))))))</f>
        <v/>
      </c>
      <c r="R39" s="0" t="str">
        <f aca="false">IF(AND(O39=1,ISNUMBER(P39)),IF(ABS(P39-L39)&lt;=ABS(P39-M39),P39-L39,P39-M39),"")</f>
        <v/>
      </c>
      <c r="S39" s="0" t="n">
        <f aca="false">IF(AND(O39=1,ISNUMBER(Audit!$M$91),ISNUMBER(J39)),IF(H39-Audit!$M$91&gt;0.005,ROUND((H39-Audit!$M$91)*K39*(1+Y39)*J39,2),0),0)</f>
        <v>0</v>
      </c>
      <c r="T39" s="0" t="str">
        <f aca="false">Audit!$N$91&amp;""</f>
        <v/>
      </c>
      <c r="U39" s="0" t="n">
        <f aca="false">IF(B39="",0,IF(COUNTIFS($B$2:$B$51,B39,$D$2:$D$51,D39)&gt;1,1,0))</f>
        <v>0</v>
      </c>
      <c r="V39" s="0" t="str">
        <f aca="false">IF(D39="","",IFERROR(INDEX(Audit!$C$43:$C$49,MATCH(D39,Lists!$A$30:$A$36,0)),""))</f>
        <v/>
      </c>
      <c r="W39" s="0" t="n">
        <f aca="false">IF(AND(B39&lt;&gt;"",OR(F39="At cost",F39="TBC",AND(F39&lt;&gt;"If required",G39=11))),1,0)</f>
        <v>0</v>
      </c>
      <c r="X39" s="0" t="str">
        <f aca="false">IF(B39="","",IF(T39&lt;&gt;"","flag",IF(F39="","status",IF(AND(G39=0,OR(F39="Firm",F39="Estimate",AND(F39="If required",ISNUMBER(H39)))),"basis",IF(AND(OR(F39="Firm",F39="Estimate"),G39&lt;&gt;11,NOT(ISNUMBER(H39))),"rate",IF(AND(O39=0,G39=9,OR(F39="Firm",F39="Estimate"),ISNUMBER(H39)),"base",IF(OR(C39="",C39="Unclassified"),"unclass",IF(U39=1,"dup",IF(AND(Audit!$C$19="Yes",O39=1,NOT(ISNUMBER(Audit!$M$91))),"noagree","")))))))))</f>
        <v/>
      </c>
      <c r="Y39" s="0" t="n">
        <f aca="false">IF(ISNUMBER(Audit!$K$91),Audit!$K$91,0)</f>
        <v>0</v>
      </c>
      <c r="Z39" s="0" t="n">
        <f aca="false">IF(AND(F39="Firm",O39=1,ISNUMBER(J39)),L39*J39,0)</f>
        <v>0</v>
      </c>
    </row>
    <row r="40" customFormat="false" ht="15" hidden="false" customHeight="false" outlineLevel="0" collapsed="false">
      <c r="A40" s="0" t="n">
        <v>39</v>
      </c>
      <c r="B40" s="0" t="str">
        <f aca="false">TRIM(Audit!$B$92)</f>
        <v/>
      </c>
      <c r="C40" s="0" t="str">
        <f aca="false">Audit!$C$92&amp;""</f>
        <v/>
      </c>
      <c r="D40" s="0" t="str">
        <f aca="false">IF(B40="","",IF(C40="","Other",IFERROR(INDEX(Lists!$C$4:$C$16,MATCH(C40,Lists!$A$4:$A$16,0)),"Other")))</f>
        <v/>
      </c>
      <c r="E40" s="0" t="str">
        <f aca="false">IF(B40="","",IF(C40="","Other",IFERROR(INDEX(Lists!$B$4:$B$16,MATCH(C40,Lists!$A$4:$A$16,0)),"Other")))</f>
        <v/>
      </c>
      <c r="F40" s="0" t="str">
        <f aca="false">Audit!$G$92&amp;""</f>
        <v/>
      </c>
      <c r="G40" s="0" t="n">
        <f aca="false">IFERROR(MATCH(Audit!$D$92,Lists!$E$4:$E$14,0),0)</f>
        <v>0</v>
      </c>
      <c r="H40" s="0" t="str">
        <f aca="false">IF(ISNUMBER(Audit!$E$92),Audit!$E$92,"")</f>
        <v/>
      </c>
      <c r="I40" s="0" t="n">
        <f aca="false">IF(TRIM(Audit!$F$92)="",Audit!$C$25,TRIM(Audit!$F$92))</f>
        <v>0</v>
      </c>
      <c r="J40" s="0" t="n">
        <f aca="false">IF(OR(I40=Audit!$C$25,I40=""),1,IF(AND(I40=Audit!$C$31,ISNUMBER(Audit!$J$31)),Audit!$J$31,IF(AND(I40=Audit!$C$32,ISNUMBER(Audit!$J$32)),Audit!$J$32,"")))</f>
        <v>1</v>
      </c>
      <c r="K40" s="0" t="str">
        <f aca="false">IF(B40="","",IF(ISNUMBER(Audit!$I$92),Audit!$I$92,IF(G40=0,"",CHOOSE(G40,IF(ISNUMBER(Audit!$C$26),Audit!$C$26,1),1,1,1,$AF$33,$AF$30,$AF$31,1,"",1,0))))</f>
        <v/>
      </c>
      <c r="L40" s="0" t="str">
        <f aca="false">IF(O40=1,ROUND(MAX(H40*K40,IF(ISNUMBER(Audit!$J$92),Audit!$J$92,0)),2),"")</f>
        <v/>
      </c>
      <c r="M40" s="0" t="str">
        <f aca="false">IF(O40=1,ROUND(L40*(1+Y40),2),"")</f>
        <v/>
      </c>
      <c r="N40" s="0" t="str">
        <f aca="false">IF(O40=1,IF(ISNUMBER(J40),ROUND(M40*J40,2),""),"")</f>
        <v/>
      </c>
      <c r="O40" s="0" t="n">
        <f aca="false">IF(AND(B40&lt;&gt;"",OR(F40="Firm",F40="Estimate",F40="If required"),ISNUMBER(H40),G40&gt;0,G40&lt;&gt;11,ISNUMBER(K40)),1,0)</f>
        <v>0</v>
      </c>
      <c r="P40" s="0" t="str">
        <f aca="false">IF(ISNUMBER(Audit!$L$92),Audit!$L$92,"")</f>
        <v/>
      </c>
      <c r="Q40" s="0" t="str">
        <f aca="false">IF(B40="","",IF(OR(F40="At cost",F40="TBC"),"Not priced ("&amp;F40&amp;")",IF(OR(F40="Included",F40="Excluded",F40="Not applicable"),F40,IF(F40="","Status missing",IF(AND(F40="If required",NOT(ISNUMBER(H40))),"Not priced (if required)",IF(G40=0,"Basis missing",IF(G40=11,"Not priced (at cost)",IF(NOT(ISNUMBER(H40)),"Rate missing",IF(AND(G40=9,NOT(ISNUMBER(Audit!$I$92))),"Base amount missing",IF(NOT(ISNUMBER(J40)),"Exchange rate missing",IF(NOT(ISNUMBER(P40)),"Calculated — Not Independently Verified",IF(ABS(R40)&lt;=Lists!$B$44,"Verified","Error - differs by "&amp;TEXT(R40,"#,##0.00")&amp;" "&amp;I40))))))))))))</f>
        <v/>
      </c>
      <c r="R40" s="0" t="str">
        <f aca="false">IF(AND(O40=1,ISNUMBER(P40)),IF(ABS(P40-L40)&lt;=ABS(P40-M40),P40-L40,P40-M40),"")</f>
        <v/>
      </c>
      <c r="S40" s="0" t="n">
        <f aca="false">IF(AND(O40=1,ISNUMBER(Audit!$M$92),ISNUMBER(J40)),IF(H40-Audit!$M$92&gt;0.005,ROUND((H40-Audit!$M$92)*K40*(1+Y40)*J40,2),0),0)</f>
        <v>0</v>
      </c>
      <c r="T40" s="0" t="str">
        <f aca="false">Audit!$N$92&amp;""</f>
        <v/>
      </c>
      <c r="U40" s="0" t="n">
        <f aca="false">IF(B40="",0,IF(COUNTIFS($B$2:$B$51,B40,$D$2:$D$51,D40)&gt;1,1,0))</f>
        <v>0</v>
      </c>
      <c r="V40" s="0" t="str">
        <f aca="false">IF(D40="","",IFERROR(INDEX(Audit!$C$43:$C$49,MATCH(D40,Lists!$A$30:$A$36,0)),""))</f>
        <v/>
      </c>
      <c r="W40" s="0" t="n">
        <f aca="false">IF(AND(B40&lt;&gt;"",OR(F40="At cost",F40="TBC",AND(F40&lt;&gt;"If required",G40=11))),1,0)</f>
        <v>0</v>
      </c>
      <c r="X40" s="0" t="str">
        <f aca="false">IF(B40="","",IF(T40&lt;&gt;"","flag",IF(F40="","status",IF(AND(G40=0,OR(F40="Firm",F40="Estimate",AND(F40="If required",ISNUMBER(H40)))),"basis",IF(AND(OR(F40="Firm",F40="Estimate"),G40&lt;&gt;11,NOT(ISNUMBER(H40))),"rate",IF(AND(O40=0,G40=9,OR(F40="Firm",F40="Estimate"),ISNUMBER(H40)),"base",IF(OR(C40="",C40="Unclassified"),"unclass",IF(U40=1,"dup",IF(AND(Audit!$C$19="Yes",O40=1,NOT(ISNUMBER(Audit!$M$92))),"noagree","")))))))))</f>
        <v/>
      </c>
      <c r="Y40" s="0" t="n">
        <f aca="false">IF(ISNUMBER(Audit!$K$92),Audit!$K$92,0)</f>
        <v>0</v>
      </c>
      <c r="Z40" s="0" t="n">
        <f aca="false">IF(AND(F40="Firm",O40=1,ISNUMBER(J40)),L40*J40,0)</f>
        <v>0</v>
      </c>
    </row>
    <row r="41" customFormat="false" ht="15" hidden="false" customHeight="false" outlineLevel="0" collapsed="false">
      <c r="A41" s="0" t="n">
        <v>40</v>
      </c>
      <c r="B41" s="0" t="str">
        <f aca="false">TRIM(Audit!$B$93)</f>
        <v/>
      </c>
      <c r="C41" s="0" t="str">
        <f aca="false">Audit!$C$93&amp;""</f>
        <v/>
      </c>
      <c r="D41" s="0" t="str">
        <f aca="false">IF(B41="","",IF(C41="","Other",IFERROR(INDEX(Lists!$C$4:$C$16,MATCH(C41,Lists!$A$4:$A$16,0)),"Other")))</f>
        <v/>
      </c>
      <c r="E41" s="0" t="str">
        <f aca="false">IF(B41="","",IF(C41="","Other",IFERROR(INDEX(Lists!$B$4:$B$16,MATCH(C41,Lists!$A$4:$A$16,0)),"Other")))</f>
        <v/>
      </c>
      <c r="F41" s="0" t="str">
        <f aca="false">Audit!$G$93&amp;""</f>
        <v/>
      </c>
      <c r="G41" s="0" t="n">
        <f aca="false">IFERROR(MATCH(Audit!$D$93,Lists!$E$4:$E$14,0),0)</f>
        <v>0</v>
      </c>
      <c r="H41" s="0" t="str">
        <f aca="false">IF(ISNUMBER(Audit!$E$93),Audit!$E$93,"")</f>
        <v/>
      </c>
      <c r="I41" s="0" t="n">
        <f aca="false">IF(TRIM(Audit!$F$93)="",Audit!$C$25,TRIM(Audit!$F$93))</f>
        <v>0</v>
      </c>
      <c r="J41" s="0" t="n">
        <f aca="false">IF(OR(I41=Audit!$C$25,I41=""),1,IF(AND(I41=Audit!$C$31,ISNUMBER(Audit!$J$31)),Audit!$J$31,IF(AND(I41=Audit!$C$32,ISNUMBER(Audit!$J$32)),Audit!$J$32,"")))</f>
        <v>1</v>
      </c>
      <c r="K41" s="0" t="str">
        <f aca="false">IF(B41="","",IF(ISNUMBER(Audit!$I$93),Audit!$I$93,IF(G41=0,"",CHOOSE(G41,IF(ISNUMBER(Audit!$C$26),Audit!$C$26,1),1,1,1,$AF$33,$AF$30,$AF$31,1,"",1,0))))</f>
        <v/>
      </c>
      <c r="L41" s="0" t="str">
        <f aca="false">IF(O41=1,ROUND(MAX(H41*K41,IF(ISNUMBER(Audit!$J$93),Audit!$J$93,0)),2),"")</f>
        <v/>
      </c>
      <c r="M41" s="0" t="str">
        <f aca="false">IF(O41=1,ROUND(L41*(1+Y41),2),"")</f>
        <v/>
      </c>
      <c r="N41" s="0" t="str">
        <f aca="false">IF(O41=1,IF(ISNUMBER(J41),ROUND(M41*J41,2),""),"")</f>
        <v/>
      </c>
      <c r="O41" s="0" t="n">
        <f aca="false">IF(AND(B41&lt;&gt;"",OR(F41="Firm",F41="Estimate",F41="If required"),ISNUMBER(H41),G41&gt;0,G41&lt;&gt;11,ISNUMBER(K41)),1,0)</f>
        <v>0</v>
      </c>
      <c r="P41" s="0" t="str">
        <f aca="false">IF(ISNUMBER(Audit!$L$93),Audit!$L$93,"")</f>
        <v/>
      </c>
      <c r="Q41" s="0" t="str">
        <f aca="false">IF(B41="","",IF(OR(F41="At cost",F41="TBC"),"Not priced ("&amp;F41&amp;")",IF(OR(F41="Included",F41="Excluded",F41="Not applicable"),F41,IF(F41="","Status missing",IF(AND(F41="If required",NOT(ISNUMBER(H41))),"Not priced (if required)",IF(G41=0,"Basis missing",IF(G41=11,"Not priced (at cost)",IF(NOT(ISNUMBER(H41)),"Rate missing",IF(AND(G41=9,NOT(ISNUMBER(Audit!$I$93))),"Base amount missing",IF(NOT(ISNUMBER(J41)),"Exchange rate missing",IF(NOT(ISNUMBER(P41)),"Calculated — Not Independently Verified",IF(ABS(R41)&lt;=Lists!$B$44,"Verified","Error - differs by "&amp;TEXT(R41,"#,##0.00")&amp;" "&amp;I41))))))))))))</f>
        <v/>
      </c>
      <c r="R41" s="0" t="str">
        <f aca="false">IF(AND(O41=1,ISNUMBER(P41)),IF(ABS(P41-L41)&lt;=ABS(P41-M41),P41-L41,P41-M41),"")</f>
        <v/>
      </c>
      <c r="S41" s="0" t="n">
        <f aca="false">IF(AND(O41=1,ISNUMBER(Audit!$M$93),ISNUMBER(J41)),IF(H41-Audit!$M$93&gt;0.005,ROUND((H41-Audit!$M$93)*K41*(1+Y41)*J41,2),0),0)</f>
        <v>0</v>
      </c>
      <c r="T41" s="0" t="str">
        <f aca="false">Audit!$N$93&amp;""</f>
        <v/>
      </c>
      <c r="U41" s="0" t="n">
        <f aca="false">IF(B41="",0,IF(COUNTIFS($B$2:$B$51,B41,$D$2:$D$51,D41)&gt;1,1,0))</f>
        <v>0</v>
      </c>
      <c r="V41" s="0" t="str">
        <f aca="false">IF(D41="","",IFERROR(INDEX(Audit!$C$43:$C$49,MATCH(D41,Lists!$A$30:$A$36,0)),""))</f>
        <v/>
      </c>
      <c r="W41" s="0" t="n">
        <f aca="false">IF(AND(B41&lt;&gt;"",OR(F41="At cost",F41="TBC",AND(F41&lt;&gt;"If required",G41=11))),1,0)</f>
        <v>0</v>
      </c>
      <c r="X41" s="0" t="str">
        <f aca="false">IF(B41="","",IF(T41&lt;&gt;"","flag",IF(F41="","status",IF(AND(G41=0,OR(F41="Firm",F41="Estimate",AND(F41="If required",ISNUMBER(H41)))),"basis",IF(AND(OR(F41="Firm",F41="Estimate"),G41&lt;&gt;11,NOT(ISNUMBER(H41))),"rate",IF(AND(O41=0,G41=9,OR(F41="Firm",F41="Estimate"),ISNUMBER(H41)),"base",IF(OR(C41="",C41="Unclassified"),"unclass",IF(U41=1,"dup",IF(AND(Audit!$C$19="Yes",O41=1,NOT(ISNUMBER(Audit!$M$93))),"noagree","")))))))))</f>
        <v/>
      </c>
      <c r="Y41" s="0" t="n">
        <f aca="false">IF(ISNUMBER(Audit!$K$93),Audit!$K$93,0)</f>
        <v>0</v>
      </c>
      <c r="Z41" s="0" t="n">
        <f aca="false">IF(AND(F41="Firm",O41=1,ISNUMBER(J41)),L41*J41,0)</f>
        <v>0</v>
      </c>
    </row>
    <row r="42" customFormat="false" ht="15" hidden="false" customHeight="false" outlineLevel="0" collapsed="false">
      <c r="A42" s="0" t="n">
        <v>41</v>
      </c>
      <c r="B42" s="0" t="str">
        <f aca="false">TRIM(Audit!$B$94)</f>
        <v/>
      </c>
      <c r="C42" s="0" t="str">
        <f aca="false">Audit!$C$94&amp;""</f>
        <v/>
      </c>
      <c r="D42" s="0" t="str">
        <f aca="false">IF(B42="","",IF(C42="","Other",IFERROR(INDEX(Lists!$C$4:$C$16,MATCH(C42,Lists!$A$4:$A$16,0)),"Other")))</f>
        <v/>
      </c>
      <c r="E42" s="0" t="str">
        <f aca="false">IF(B42="","",IF(C42="","Other",IFERROR(INDEX(Lists!$B$4:$B$16,MATCH(C42,Lists!$A$4:$A$16,0)),"Other")))</f>
        <v/>
      </c>
      <c r="F42" s="0" t="str">
        <f aca="false">Audit!$G$94&amp;""</f>
        <v/>
      </c>
      <c r="G42" s="0" t="n">
        <f aca="false">IFERROR(MATCH(Audit!$D$94,Lists!$E$4:$E$14,0),0)</f>
        <v>0</v>
      </c>
      <c r="H42" s="0" t="str">
        <f aca="false">IF(ISNUMBER(Audit!$E$94),Audit!$E$94,"")</f>
        <v/>
      </c>
      <c r="I42" s="0" t="n">
        <f aca="false">IF(TRIM(Audit!$F$94)="",Audit!$C$25,TRIM(Audit!$F$94))</f>
        <v>0</v>
      </c>
      <c r="J42" s="0" t="n">
        <f aca="false">IF(OR(I42=Audit!$C$25,I42=""),1,IF(AND(I42=Audit!$C$31,ISNUMBER(Audit!$J$31)),Audit!$J$31,IF(AND(I42=Audit!$C$32,ISNUMBER(Audit!$J$32)),Audit!$J$32,"")))</f>
        <v>1</v>
      </c>
      <c r="K42" s="0" t="str">
        <f aca="false">IF(B42="","",IF(ISNUMBER(Audit!$I$94),Audit!$I$94,IF(G42=0,"",CHOOSE(G42,IF(ISNUMBER(Audit!$C$26),Audit!$C$26,1),1,1,1,$AF$33,$AF$30,$AF$31,1,"",1,0))))</f>
        <v/>
      </c>
      <c r="L42" s="0" t="str">
        <f aca="false">IF(O42=1,ROUND(MAX(H42*K42,IF(ISNUMBER(Audit!$J$94),Audit!$J$94,0)),2),"")</f>
        <v/>
      </c>
      <c r="M42" s="0" t="str">
        <f aca="false">IF(O42=1,ROUND(L42*(1+Y42),2),"")</f>
        <v/>
      </c>
      <c r="N42" s="0" t="str">
        <f aca="false">IF(O42=1,IF(ISNUMBER(J42),ROUND(M42*J42,2),""),"")</f>
        <v/>
      </c>
      <c r="O42" s="0" t="n">
        <f aca="false">IF(AND(B42&lt;&gt;"",OR(F42="Firm",F42="Estimate",F42="If required"),ISNUMBER(H42),G42&gt;0,G42&lt;&gt;11,ISNUMBER(K42)),1,0)</f>
        <v>0</v>
      </c>
      <c r="P42" s="0" t="str">
        <f aca="false">IF(ISNUMBER(Audit!$L$94),Audit!$L$94,"")</f>
        <v/>
      </c>
      <c r="Q42" s="0" t="str">
        <f aca="false">IF(B42="","",IF(OR(F42="At cost",F42="TBC"),"Not priced ("&amp;F42&amp;")",IF(OR(F42="Included",F42="Excluded",F42="Not applicable"),F42,IF(F42="","Status missing",IF(AND(F42="If required",NOT(ISNUMBER(H42))),"Not priced (if required)",IF(G42=0,"Basis missing",IF(G42=11,"Not priced (at cost)",IF(NOT(ISNUMBER(H42)),"Rate missing",IF(AND(G42=9,NOT(ISNUMBER(Audit!$I$94))),"Base amount missing",IF(NOT(ISNUMBER(J42)),"Exchange rate missing",IF(NOT(ISNUMBER(P42)),"Calculated — Not Independently Verified",IF(ABS(R42)&lt;=Lists!$B$44,"Verified","Error - differs by "&amp;TEXT(R42,"#,##0.00")&amp;" "&amp;I42))))))))))))</f>
        <v/>
      </c>
      <c r="R42" s="0" t="str">
        <f aca="false">IF(AND(O42=1,ISNUMBER(P42)),IF(ABS(P42-L42)&lt;=ABS(P42-M42),P42-L42,P42-M42),"")</f>
        <v/>
      </c>
      <c r="S42" s="0" t="n">
        <f aca="false">IF(AND(O42=1,ISNUMBER(Audit!$M$94),ISNUMBER(J42)),IF(H42-Audit!$M$94&gt;0.005,ROUND((H42-Audit!$M$94)*K42*(1+Y42)*J42,2),0),0)</f>
        <v>0</v>
      </c>
      <c r="T42" s="0" t="str">
        <f aca="false">Audit!$N$94&amp;""</f>
        <v/>
      </c>
      <c r="U42" s="0" t="n">
        <f aca="false">IF(B42="",0,IF(COUNTIFS($B$2:$B$51,B42,$D$2:$D$51,D42)&gt;1,1,0))</f>
        <v>0</v>
      </c>
      <c r="V42" s="0" t="str">
        <f aca="false">IF(D42="","",IFERROR(INDEX(Audit!$C$43:$C$49,MATCH(D42,Lists!$A$30:$A$36,0)),""))</f>
        <v/>
      </c>
      <c r="W42" s="0" t="n">
        <f aca="false">IF(AND(B42&lt;&gt;"",OR(F42="At cost",F42="TBC",AND(F42&lt;&gt;"If required",G42=11))),1,0)</f>
        <v>0</v>
      </c>
      <c r="X42" s="0" t="str">
        <f aca="false">IF(B42="","",IF(T42&lt;&gt;"","flag",IF(F42="","status",IF(AND(G42=0,OR(F42="Firm",F42="Estimate",AND(F42="If required",ISNUMBER(H42)))),"basis",IF(AND(OR(F42="Firm",F42="Estimate"),G42&lt;&gt;11,NOT(ISNUMBER(H42))),"rate",IF(AND(O42=0,G42=9,OR(F42="Firm",F42="Estimate"),ISNUMBER(H42)),"base",IF(OR(C42="",C42="Unclassified"),"unclass",IF(U42=1,"dup",IF(AND(Audit!$C$19="Yes",O42=1,NOT(ISNUMBER(Audit!$M$94))),"noagree","")))))))))</f>
        <v/>
      </c>
      <c r="Y42" s="0" t="n">
        <f aca="false">IF(ISNUMBER(Audit!$K$94),Audit!$K$94,0)</f>
        <v>0</v>
      </c>
      <c r="Z42" s="0" t="n">
        <f aca="false">IF(AND(F42="Firm",O42=1,ISNUMBER(J42)),L42*J42,0)</f>
        <v>0</v>
      </c>
    </row>
    <row r="43" customFormat="false" ht="15" hidden="false" customHeight="false" outlineLevel="0" collapsed="false">
      <c r="A43" s="0" t="n">
        <v>42</v>
      </c>
      <c r="B43" s="0" t="str">
        <f aca="false">TRIM(Audit!$B$95)</f>
        <v/>
      </c>
      <c r="C43" s="0" t="str">
        <f aca="false">Audit!$C$95&amp;""</f>
        <v/>
      </c>
      <c r="D43" s="0" t="str">
        <f aca="false">IF(B43="","",IF(C43="","Other",IFERROR(INDEX(Lists!$C$4:$C$16,MATCH(C43,Lists!$A$4:$A$16,0)),"Other")))</f>
        <v/>
      </c>
      <c r="E43" s="0" t="str">
        <f aca="false">IF(B43="","",IF(C43="","Other",IFERROR(INDEX(Lists!$B$4:$B$16,MATCH(C43,Lists!$A$4:$A$16,0)),"Other")))</f>
        <v/>
      </c>
      <c r="F43" s="0" t="str">
        <f aca="false">Audit!$G$95&amp;""</f>
        <v/>
      </c>
      <c r="G43" s="0" t="n">
        <f aca="false">IFERROR(MATCH(Audit!$D$95,Lists!$E$4:$E$14,0),0)</f>
        <v>0</v>
      </c>
      <c r="H43" s="0" t="str">
        <f aca="false">IF(ISNUMBER(Audit!$E$95),Audit!$E$95,"")</f>
        <v/>
      </c>
      <c r="I43" s="0" t="n">
        <f aca="false">IF(TRIM(Audit!$F$95)="",Audit!$C$25,TRIM(Audit!$F$95))</f>
        <v>0</v>
      </c>
      <c r="J43" s="0" t="n">
        <f aca="false">IF(OR(I43=Audit!$C$25,I43=""),1,IF(AND(I43=Audit!$C$31,ISNUMBER(Audit!$J$31)),Audit!$J$31,IF(AND(I43=Audit!$C$32,ISNUMBER(Audit!$J$32)),Audit!$J$32,"")))</f>
        <v>1</v>
      </c>
      <c r="K43" s="0" t="str">
        <f aca="false">IF(B43="","",IF(ISNUMBER(Audit!$I$95),Audit!$I$95,IF(G43=0,"",CHOOSE(G43,IF(ISNUMBER(Audit!$C$26),Audit!$C$26,1),1,1,1,$AF$33,$AF$30,$AF$31,1,"",1,0))))</f>
        <v/>
      </c>
      <c r="L43" s="0" t="str">
        <f aca="false">IF(O43=1,ROUND(MAX(H43*K43,IF(ISNUMBER(Audit!$J$95),Audit!$J$95,0)),2),"")</f>
        <v/>
      </c>
      <c r="M43" s="0" t="str">
        <f aca="false">IF(O43=1,ROUND(L43*(1+Y43),2),"")</f>
        <v/>
      </c>
      <c r="N43" s="0" t="str">
        <f aca="false">IF(O43=1,IF(ISNUMBER(J43),ROUND(M43*J43,2),""),"")</f>
        <v/>
      </c>
      <c r="O43" s="0" t="n">
        <f aca="false">IF(AND(B43&lt;&gt;"",OR(F43="Firm",F43="Estimate",F43="If required"),ISNUMBER(H43),G43&gt;0,G43&lt;&gt;11,ISNUMBER(K43)),1,0)</f>
        <v>0</v>
      </c>
      <c r="P43" s="0" t="str">
        <f aca="false">IF(ISNUMBER(Audit!$L$95),Audit!$L$95,"")</f>
        <v/>
      </c>
      <c r="Q43" s="0" t="str">
        <f aca="false">IF(B43="","",IF(OR(F43="At cost",F43="TBC"),"Not priced ("&amp;F43&amp;")",IF(OR(F43="Included",F43="Excluded",F43="Not applicable"),F43,IF(F43="","Status missing",IF(AND(F43="If required",NOT(ISNUMBER(H43))),"Not priced (if required)",IF(G43=0,"Basis missing",IF(G43=11,"Not priced (at cost)",IF(NOT(ISNUMBER(H43)),"Rate missing",IF(AND(G43=9,NOT(ISNUMBER(Audit!$I$95))),"Base amount missing",IF(NOT(ISNUMBER(J43)),"Exchange rate missing",IF(NOT(ISNUMBER(P43)),"Calculated — Not Independently Verified",IF(ABS(R43)&lt;=Lists!$B$44,"Verified","Error - differs by "&amp;TEXT(R43,"#,##0.00")&amp;" "&amp;I43))))))))))))</f>
        <v/>
      </c>
      <c r="R43" s="0" t="str">
        <f aca="false">IF(AND(O43=1,ISNUMBER(P43)),IF(ABS(P43-L43)&lt;=ABS(P43-M43),P43-L43,P43-M43),"")</f>
        <v/>
      </c>
      <c r="S43" s="0" t="n">
        <f aca="false">IF(AND(O43=1,ISNUMBER(Audit!$M$95),ISNUMBER(J43)),IF(H43-Audit!$M$95&gt;0.005,ROUND((H43-Audit!$M$95)*K43*(1+Y43)*J43,2),0),0)</f>
        <v>0</v>
      </c>
      <c r="T43" s="0" t="str">
        <f aca="false">Audit!$N$95&amp;""</f>
        <v/>
      </c>
      <c r="U43" s="0" t="n">
        <f aca="false">IF(B43="",0,IF(COUNTIFS($B$2:$B$51,B43,$D$2:$D$51,D43)&gt;1,1,0))</f>
        <v>0</v>
      </c>
      <c r="V43" s="0" t="str">
        <f aca="false">IF(D43="","",IFERROR(INDEX(Audit!$C$43:$C$49,MATCH(D43,Lists!$A$30:$A$36,0)),""))</f>
        <v/>
      </c>
      <c r="W43" s="0" t="n">
        <f aca="false">IF(AND(B43&lt;&gt;"",OR(F43="At cost",F43="TBC",AND(F43&lt;&gt;"If required",G43=11))),1,0)</f>
        <v>0</v>
      </c>
      <c r="X43" s="0" t="str">
        <f aca="false">IF(B43="","",IF(T43&lt;&gt;"","flag",IF(F43="","status",IF(AND(G43=0,OR(F43="Firm",F43="Estimate",AND(F43="If required",ISNUMBER(H43)))),"basis",IF(AND(OR(F43="Firm",F43="Estimate"),G43&lt;&gt;11,NOT(ISNUMBER(H43))),"rate",IF(AND(O43=0,G43=9,OR(F43="Firm",F43="Estimate"),ISNUMBER(H43)),"base",IF(OR(C43="",C43="Unclassified"),"unclass",IF(U43=1,"dup",IF(AND(Audit!$C$19="Yes",O43=1,NOT(ISNUMBER(Audit!$M$95))),"noagree","")))))))))</f>
        <v/>
      </c>
      <c r="Y43" s="0" t="n">
        <f aca="false">IF(ISNUMBER(Audit!$K$95),Audit!$K$95,0)</f>
        <v>0</v>
      </c>
      <c r="Z43" s="0" t="n">
        <f aca="false">IF(AND(F43="Firm",O43=1,ISNUMBER(J43)),L43*J43,0)</f>
        <v>0</v>
      </c>
    </row>
    <row r="44" customFormat="false" ht="15" hidden="false" customHeight="false" outlineLevel="0" collapsed="false">
      <c r="A44" s="0" t="n">
        <v>43</v>
      </c>
      <c r="B44" s="0" t="str">
        <f aca="false">TRIM(Audit!$B$96)</f>
        <v/>
      </c>
      <c r="C44" s="0" t="str">
        <f aca="false">Audit!$C$96&amp;""</f>
        <v/>
      </c>
      <c r="D44" s="0" t="str">
        <f aca="false">IF(B44="","",IF(C44="","Other",IFERROR(INDEX(Lists!$C$4:$C$16,MATCH(C44,Lists!$A$4:$A$16,0)),"Other")))</f>
        <v/>
      </c>
      <c r="E44" s="0" t="str">
        <f aca="false">IF(B44="","",IF(C44="","Other",IFERROR(INDEX(Lists!$B$4:$B$16,MATCH(C44,Lists!$A$4:$A$16,0)),"Other")))</f>
        <v/>
      </c>
      <c r="F44" s="0" t="str">
        <f aca="false">Audit!$G$96&amp;""</f>
        <v/>
      </c>
      <c r="G44" s="0" t="n">
        <f aca="false">IFERROR(MATCH(Audit!$D$96,Lists!$E$4:$E$14,0),0)</f>
        <v>0</v>
      </c>
      <c r="H44" s="0" t="str">
        <f aca="false">IF(ISNUMBER(Audit!$E$96),Audit!$E$96,"")</f>
        <v/>
      </c>
      <c r="I44" s="0" t="n">
        <f aca="false">IF(TRIM(Audit!$F$96)="",Audit!$C$25,TRIM(Audit!$F$96))</f>
        <v>0</v>
      </c>
      <c r="J44" s="0" t="n">
        <f aca="false">IF(OR(I44=Audit!$C$25,I44=""),1,IF(AND(I44=Audit!$C$31,ISNUMBER(Audit!$J$31)),Audit!$J$31,IF(AND(I44=Audit!$C$32,ISNUMBER(Audit!$J$32)),Audit!$J$32,"")))</f>
        <v>1</v>
      </c>
      <c r="K44" s="0" t="str">
        <f aca="false">IF(B44="","",IF(ISNUMBER(Audit!$I$96),Audit!$I$96,IF(G44=0,"",CHOOSE(G44,IF(ISNUMBER(Audit!$C$26),Audit!$C$26,1),1,1,1,$AF$33,$AF$30,$AF$31,1,"",1,0))))</f>
        <v/>
      </c>
      <c r="L44" s="0" t="str">
        <f aca="false">IF(O44=1,ROUND(MAX(H44*K44,IF(ISNUMBER(Audit!$J$96),Audit!$J$96,0)),2),"")</f>
        <v/>
      </c>
      <c r="M44" s="0" t="str">
        <f aca="false">IF(O44=1,ROUND(L44*(1+Y44),2),"")</f>
        <v/>
      </c>
      <c r="N44" s="0" t="str">
        <f aca="false">IF(O44=1,IF(ISNUMBER(J44),ROUND(M44*J44,2),""),"")</f>
        <v/>
      </c>
      <c r="O44" s="0" t="n">
        <f aca="false">IF(AND(B44&lt;&gt;"",OR(F44="Firm",F44="Estimate",F44="If required"),ISNUMBER(H44),G44&gt;0,G44&lt;&gt;11,ISNUMBER(K44)),1,0)</f>
        <v>0</v>
      </c>
      <c r="P44" s="0" t="str">
        <f aca="false">IF(ISNUMBER(Audit!$L$96),Audit!$L$96,"")</f>
        <v/>
      </c>
      <c r="Q44" s="0" t="str">
        <f aca="false">IF(B44="","",IF(OR(F44="At cost",F44="TBC"),"Not priced ("&amp;F44&amp;")",IF(OR(F44="Included",F44="Excluded",F44="Not applicable"),F44,IF(F44="","Status missing",IF(AND(F44="If required",NOT(ISNUMBER(H44))),"Not priced (if required)",IF(G44=0,"Basis missing",IF(G44=11,"Not priced (at cost)",IF(NOT(ISNUMBER(H44)),"Rate missing",IF(AND(G44=9,NOT(ISNUMBER(Audit!$I$96))),"Base amount missing",IF(NOT(ISNUMBER(J44)),"Exchange rate missing",IF(NOT(ISNUMBER(P44)),"Calculated — Not Independently Verified",IF(ABS(R44)&lt;=Lists!$B$44,"Verified","Error - differs by "&amp;TEXT(R44,"#,##0.00")&amp;" "&amp;I44))))))))))))</f>
        <v/>
      </c>
      <c r="R44" s="0" t="str">
        <f aca="false">IF(AND(O44=1,ISNUMBER(P44)),IF(ABS(P44-L44)&lt;=ABS(P44-M44),P44-L44,P44-M44),"")</f>
        <v/>
      </c>
      <c r="S44" s="0" t="n">
        <f aca="false">IF(AND(O44=1,ISNUMBER(Audit!$M$96),ISNUMBER(J44)),IF(H44-Audit!$M$96&gt;0.005,ROUND((H44-Audit!$M$96)*K44*(1+Y44)*J44,2),0),0)</f>
        <v>0</v>
      </c>
      <c r="T44" s="0" t="str">
        <f aca="false">Audit!$N$96&amp;""</f>
        <v/>
      </c>
      <c r="U44" s="0" t="n">
        <f aca="false">IF(B44="",0,IF(COUNTIFS($B$2:$B$51,B44,$D$2:$D$51,D44)&gt;1,1,0))</f>
        <v>0</v>
      </c>
      <c r="V44" s="0" t="str">
        <f aca="false">IF(D44="","",IFERROR(INDEX(Audit!$C$43:$C$49,MATCH(D44,Lists!$A$30:$A$36,0)),""))</f>
        <v/>
      </c>
      <c r="W44" s="0" t="n">
        <f aca="false">IF(AND(B44&lt;&gt;"",OR(F44="At cost",F44="TBC",AND(F44&lt;&gt;"If required",G44=11))),1,0)</f>
        <v>0</v>
      </c>
      <c r="X44" s="0" t="str">
        <f aca="false">IF(B44="","",IF(T44&lt;&gt;"","flag",IF(F44="","status",IF(AND(G44=0,OR(F44="Firm",F44="Estimate",AND(F44="If required",ISNUMBER(H44)))),"basis",IF(AND(OR(F44="Firm",F44="Estimate"),G44&lt;&gt;11,NOT(ISNUMBER(H44))),"rate",IF(AND(O44=0,G44=9,OR(F44="Firm",F44="Estimate"),ISNUMBER(H44)),"base",IF(OR(C44="",C44="Unclassified"),"unclass",IF(U44=1,"dup",IF(AND(Audit!$C$19="Yes",O44=1,NOT(ISNUMBER(Audit!$M$96))),"noagree","")))))))))</f>
        <v/>
      </c>
      <c r="Y44" s="0" t="n">
        <f aca="false">IF(ISNUMBER(Audit!$K$96),Audit!$K$96,0)</f>
        <v>0</v>
      </c>
      <c r="Z44" s="0" t="n">
        <f aca="false">IF(AND(F44="Firm",O44=1,ISNUMBER(J44)),L44*J44,0)</f>
        <v>0</v>
      </c>
    </row>
    <row r="45" customFormat="false" ht="15" hidden="false" customHeight="false" outlineLevel="0" collapsed="false">
      <c r="A45" s="0" t="n">
        <v>44</v>
      </c>
      <c r="B45" s="0" t="str">
        <f aca="false">TRIM(Audit!$B$97)</f>
        <v/>
      </c>
      <c r="C45" s="0" t="str">
        <f aca="false">Audit!$C$97&amp;""</f>
        <v/>
      </c>
      <c r="D45" s="0" t="str">
        <f aca="false">IF(B45="","",IF(C45="","Other",IFERROR(INDEX(Lists!$C$4:$C$16,MATCH(C45,Lists!$A$4:$A$16,0)),"Other")))</f>
        <v/>
      </c>
      <c r="E45" s="0" t="str">
        <f aca="false">IF(B45="","",IF(C45="","Other",IFERROR(INDEX(Lists!$B$4:$B$16,MATCH(C45,Lists!$A$4:$A$16,0)),"Other")))</f>
        <v/>
      </c>
      <c r="F45" s="0" t="str">
        <f aca="false">Audit!$G$97&amp;""</f>
        <v/>
      </c>
      <c r="G45" s="0" t="n">
        <f aca="false">IFERROR(MATCH(Audit!$D$97,Lists!$E$4:$E$14,0),0)</f>
        <v>0</v>
      </c>
      <c r="H45" s="0" t="str">
        <f aca="false">IF(ISNUMBER(Audit!$E$97),Audit!$E$97,"")</f>
        <v/>
      </c>
      <c r="I45" s="0" t="n">
        <f aca="false">IF(TRIM(Audit!$F$97)="",Audit!$C$25,TRIM(Audit!$F$97))</f>
        <v>0</v>
      </c>
      <c r="J45" s="0" t="n">
        <f aca="false">IF(OR(I45=Audit!$C$25,I45=""),1,IF(AND(I45=Audit!$C$31,ISNUMBER(Audit!$J$31)),Audit!$J$31,IF(AND(I45=Audit!$C$32,ISNUMBER(Audit!$J$32)),Audit!$J$32,"")))</f>
        <v>1</v>
      </c>
      <c r="K45" s="0" t="str">
        <f aca="false">IF(B45="","",IF(ISNUMBER(Audit!$I$97),Audit!$I$97,IF(G45=0,"",CHOOSE(G45,IF(ISNUMBER(Audit!$C$26),Audit!$C$26,1),1,1,1,$AF$33,$AF$30,$AF$31,1,"",1,0))))</f>
        <v/>
      </c>
      <c r="L45" s="0" t="str">
        <f aca="false">IF(O45=1,ROUND(MAX(H45*K45,IF(ISNUMBER(Audit!$J$97),Audit!$J$97,0)),2),"")</f>
        <v/>
      </c>
      <c r="M45" s="0" t="str">
        <f aca="false">IF(O45=1,ROUND(L45*(1+Y45),2),"")</f>
        <v/>
      </c>
      <c r="N45" s="0" t="str">
        <f aca="false">IF(O45=1,IF(ISNUMBER(J45),ROUND(M45*J45,2),""),"")</f>
        <v/>
      </c>
      <c r="O45" s="0" t="n">
        <f aca="false">IF(AND(B45&lt;&gt;"",OR(F45="Firm",F45="Estimate",F45="If required"),ISNUMBER(H45),G45&gt;0,G45&lt;&gt;11,ISNUMBER(K45)),1,0)</f>
        <v>0</v>
      </c>
      <c r="P45" s="0" t="str">
        <f aca="false">IF(ISNUMBER(Audit!$L$97),Audit!$L$97,"")</f>
        <v/>
      </c>
      <c r="Q45" s="0" t="str">
        <f aca="false">IF(B45="","",IF(OR(F45="At cost",F45="TBC"),"Not priced ("&amp;F45&amp;")",IF(OR(F45="Included",F45="Excluded",F45="Not applicable"),F45,IF(F45="","Status missing",IF(AND(F45="If required",NOT(ISNUMBER(H45))),"Not priced (if required)",IF(G45=0,"Basis missing",IF(G45=11,"Not priced (at cost)",IF(NOT(ISNUMBER(H45)),"Rate missing",IF(AND(G45=9,NOT(ISNUMBER(Audit!$I$97))),"Base amount missing",IF(NOT(ISNUMBER(J45)),"Exchange rate missing",IF(NOT(ISNUMBER(P45)),"Calculated — Not Independently Verified",IF(ABS(R45)&lt;=Lists!$B$44,"Verified","Error - differs by "&amp;TEXT(R45,"#,##0.00")&amp;" "&amp;I45))))))))))))</f>
        <v/>
      </c>
      <c r="R45" s="0" t="str">
        <f aca="false">IF(AND(O45=1,ISNUMBER(P45)),IF(ABS(P45-L45)&lt;=ABS(P45-M45),P45-L45,P45-M45),"")</f>
        <v/>
      </c>
      <c r="S45" s="0" t="n">
        <f aca="false">IF(AND(O45=1,ISNUMBER(Audit!$M$97),ISNUMBER(J45)),IF(H45-Audit!$M$97&gt;0.005,ROUND((H45-Audit!$M$97)*K45*(1+Y45)*J45,2),0),0)</f>
        <v>0</v>
      </c>
      <c r="T45" s="0" t="str">
        <f aca="false">Audit!$N$97&amp;""</f>
        <v/>
      </c>
      <c r="U45" s="0" t="n">
        <f aca="false">IF(B45="",0,IF(COUNTIFS($B$2:$B$51,B45,$D$2:$D$51,D45)&gt;1,1,0))</f>
        <v>0</v>
      </c>
      <c r="V45" s="0" t="str">
        <f aca="false">IF(D45="","",IFERROR(INDEX(Audit!$C$43:$C$49,MATCH(D45,Lists!$A$30:$A$36,0)),""))</f>
        <v/>
      </c>
      <c r="W45" s="0" t="n">
        <f aca="false">IF(AND(B45&lt;&gt;"",OR(F45="At cost",F45="TBC",AND(F45&lt;&gt;"If required",G45=11))),1,0)</f>
        <v>0</v>
      </c>
      <c r="X45" s="0" t="str">
        <f aca="false">IF(B45="","",IF(T45&lt;&gt;"","flag",IF(F45="","status",IF(AND(G45=0,OR(F45="Firm",F45="Estimate",AND(F45="If required",ISNUMBER(H45)))),"basis",IF(AND(OR(F45="Firm",F45="Estimate"),G45&lt;&gt;11,NOT(ISNUMBER(H45))),"rate",IF(AND(O45=0,G45=9,OR(F45="Firm",F45="Estimate"),ISNUMBER(H45)),"base",IF(OR(C45="",C45="Unclassified"),"unclass",IF(U45=1,"dup",IF(AND(Audit!$C$19="Yes",O45=1,NOT(ISNUMBER(Audit!$M$97))),"noagree","")))))))))</f>
        <v/>
      </c>
      <c r="Y45" s="0" t="n">
        <f aca="false">IF(ISNUMBER(Audit!$K$97),Audit!$K$97,0)</f>
        <v>0</v>
      </c>
      <c r="Z45" s="0" t="n">
        <f aca="false">IF(AND(F45="Firm",O45=1,ISNUMBER(J45)),L45*J45,0)</f>
        <v>0</v>
      </c>
    </row>
    <row r="46" customFormat="false" ht="15" hidden="false" customHeight="false" outlineLevel="0" collapsed="false">
      <c r="A46" s="0" t="n">
        <v>45</v>
      </c>
      <c r="B46" s="0" t="str">
        <f aca="false">TRIM(Audit!$B$98)</f>
        <v/>
      </c>
      <c r="C46" s="0" t="str">
        <f aca="false">Audit!$C$98&amp;""</f>
        <v/>
      </c>
      <c r="D46" s="0" t="str">
        <f aca="false">IF(B46="","",IF(C46="","Other",IFERROR(INDEX(Lists!$C$4:$C$16,MATCH(C46,Lists!$A$4:$A$16,0)),"Other")))</f>
        <v/>
      </c>
      <c r="E46" s="0" t="str">
        <f aca="false">IF(B46="","",IF(C46="","Other",IFERROR(INDEX(Lists!$B$4:$B$16,MATCH(C46,Lists!$A$4:$A$16,0)),"Other")))</f>
        <v/>
      </c>
      <c r="F46" s="0" t="str">
        <f aca="false">Audit!$G$98&amp;""</f>
        <v/>
      </c>
      <c r="G46" s="0" t="n">
        <f aca="false">IFERROR(MATCH(Audit!$D$98,Lists!$E$4:$E$14,0),0)</f>
        <v>0</v>
      </c>
      <c r="H46" s="0" t="str">
        <f aca="false">IF(ISNUMBER(Audit!$E$98),Audit!$E$98,"")</f>
        <v/>
      </c>
      <c r="I46" s="0" t="n">
        <f aca="false">IF(TRIM(Audit!$F$98)="",Audit!$C$25,TRIM(Audit!$F$98))</f>
        <v>0</v>
      </c>
      <c r="J46" s="0" t="n">
        <f aca="false">IF(OR(I46=Audit!$C$25,I46=""),1,IF(AND(I46=Audit!$C$31,ISNUMBER(Audit!$J$31)),Audit!$J$31,IF(AND(I46=Audit!$C$32,ISNUMBER(Audit!$J$32)),Audit!$J$32,"")))</f>
        <v>1</v>
      </c>
      <c r="K46" s="0" t="str">
        <f aca="false">IF(B46="","",IF(ISNUMBER(Audit!$I$98),Audit!$I$98,IF(G46=0,"",CHOOSE(G46,IF(ISNUMBER(Audit!$C$26),Audit!$C$26,1),1,1,1,$AF$33,$AF$30,$AF$31,1,"",1,0))))</f>
        <v/>
      </c>
      <c r="L46" s="0" t="str">
        <f aca="false">IF(O46=1,ROUND(MAX(H46*K46,IF(ISNUMBER(Audit!$J$98),Audit!$J$98,0)),2),"")</f>
        <v/>
      </c>
      <c r="M46" s="0" t="str">
        <f aca="false">IF(O46=1,ROUND(L46*(1+Y46),2),"")</f>
        <v/>
      </c>
      <c r="N46" s="0" t="str">
        <f aca="false">IF(O46=1,IF(ISNUMBER(J46),ROUND(M46*J46,2),""),"")</f>
        <v/>
      </c>
      <c r="O46" s="0" t="n">
        <f aca="false">IF(AND(B46&lt;&gt;"",OR(F46="Firm",F46="Estimate",F46="If required"),ISNUMBER(H46),G46&gt;0,G46&lt;&gt;11,ISNUMBER(K46)),1,0)</f>
        <v>0</v>
      </c>
      <c r="P46" s="0" t="str">
        <f aca="false">IF(ISNUMBER(Audit!$L$98),Audit!$L$98,"")</f>
        <v/>
      </c>
      <c r="Q46" s="0" t="str">
        <f aca="false">IF(B46="","",IF(OR(F46="At cost",F46="TBC"),"Not priced ("&amp;F46&amp;")",IF(OR(F46="Included",F46="Excluded",F46="Not applicable"),F46,IF(F46="","Status missing",IF(AND(F46="If required",NOT(ISNUMBER(H46))),"Not priced (if required)",IF(G46=0,"Basis missing",IF(G46=11,"Not priced (at cost)",IF(NOT(ISNUMBER(H46)),"Rate missing",IF(AND(G46=9,NOT(ISNUMBER(Audit!$I$98))),"Base amount missing",IF(NOT(ISNUMBER(J46)),"Exchange rate missing",IF(NOT(ISNUMBER(P46)),"Calculated — Not Independently Verified",IF(ABS(R46)&lt;=Lists!$B$44,"Verified","Error - differs by "&amp;TEXT(R46,"#,##0.00")&amp;" "&amp;I46))))))))))))</f>
        <v/>
      </c>
      <c r="R46" s="0" t="str">
        <f aca="false">IF(AND(O46=1,ISNUMBER(P46)),IF(ABS(P46-L46)&lt;=ABS(P46-M46),P46-L46,P46-M46),"")</f>
        <v/>
      </c>
      <c r="S46" s="0" t="n">
        <f aca="false">IF(AND(O46=1,ISNUMBER(Audit!$M$98),ISNUMBER(J46)),IF(H46-Audit!$M$98&gt;0.005,ROUND((H46-Audit!$M$98)*K46*(1+Y46)*J46,2),0),0)</f>
        <v>0</v>
      </c>
      <c r="T46" s="0" t="str">
        <f aca="false">Audit!$N$98&amp;""</f>
        <v/>
      </c>
      <c r="U46" s="0" t="n">
        <f aca="false">IF(B46="",0,IF(COUNTIFS($B$2:$B$51,B46,$D$2:$D$51,D46)&gt;1,1,0))</f>
        <v>0</v>
      </c>
      <c r="V46" s="0" t="str">
        <f aca="false">IF(D46="","",IFERROR(INDEX(Audit!$C$43:$C$49,MATCH(D46,Lists!$A$30:$A$36,0)),""))</f>
        <v/>
      </c>
      <c r="W46" s="0" t="n">
        <f aca="false">IF(AND(B46&lt;&gt;"",OR(F46="At cost",F46="TBC",AND(F46&lt;&gt;"If required",G46=11))),1,0)</f>
        <v>0</v>
      </c>
      <c r="X46" s="0" t="str">
        <f aca="false">IF(B46="","",IF(T46&lt;&gt;"","flag",IF(F46="","status",IF(AND(G46=0,OR(F46="Firm",F46="Estimate",AND(F46="If required",ISNUMBER(H46)))),"basis",IF(AND(OR(F46="Firm",F46="Estimate"),G46&lt;&gt;11,NOT(ISNUMBER(H46))),"rate",IF(AND(O46=0,G46=9,OR(F46="Firm",F46="Estimate"),ISNUMBER(H46)),"base",IF(OR(C46="",C46="Unclassified"),"unclass",IF(U46=1,"dup",IF(AND(Audit!$C$19="Yes",O46=1,NOT(ISNUMBER(Audit!$M$98))),"noagree","")))))))))</f>
        <v/>
      </c>
      <c r="Y46" s="0" t="n">
        <f aca="false">IF(ISNUMBER(Audit!$K$98),Audit!$K$98,0)</f>
        <v>0</v>
      </c>
      <c r="Z46" s="0" t="n">
        <f aca="false">IF(AND(F46="Firm",O46=1,ISNUMBER(J46)),L46*J46,0)</f>
        <v>0</v>
      </c>
    </row>
    <row r="47" customFormat="false" ht="15" hidden="false" customHeight="false" outlineLevel="0" collapsed="false">
      <c r="A47" s="0" t="n">
        <v>46</v>
      </c>
      <c r="B47" s="0" t="str">
        <f aca="false">TRIM(Audit!$B$99)</f>
        <v/>
      </c>
      <c r="C47" s="0" t="str">
        <f aca="false">Audit!$C$99&amp;""</f>
        <v/>
      </c>
      <c r="D47" s="0" t="str">
        <f aca="false">IF(B47="","",IF(C47="","Other",IFERROR(INDEX(Lists!$C$4:$C$16,MATCH(C47,Lists!$A$4:$A$16,0)),"Other")))</f>
        <v/>
      </c>
      <c r="E47" s="0" t="str">
        <f aca="false">IF(B47="","",IF(C47="","Other",IFERROR(INDEX(Lists!$B$4:$B$16,MATCH(C47,Lists!$A$4:$A$16,0)),"Other")))</f>
        <v/>
      </c>
      <c r="F47" s="0" t="str">
        <f aca="false">Audit!$G$99&amp;""</f>
        <v/>
      </c>
      <c r="G47" s="0" t="n">
        <f aca="false">IFERROR(MATCH(Audit!$D$99,Lists!$E$4:$E$14,0),0)</f>
        <v>0</v>
      </c>
      <c r="H47" s="0" t="str">
        <f aca="false">IF(ISNUMBER(Audit!$E$99),Audit!$E$99,"")</f>
        <v/>
      </c>
      <c r="I47" s="0" t="n">
        <f aca="false">IF(TRIM(Audit!$F$99)="",Audit!$C$25,TRIM(Audit!$F$99))</f>
        <v>0</v>
      </c>
      <c r="J47" s="0" t="n">
        <f aca="false">IF(OR(I47=Audit!$C$25,I47=""),1,IF(AND(I47=Audit!$C$31,ISNUMBER(Audit!$J$31)),Audit!$J$31,IF(AND(I47=Audit!$C$32,ISNUMBER(Audit!$J$32)),Audit!$J$32,"")))</f>
        <v>1</v>
      </c>
      <c r="K47" s="0" t="str">
        <f aca="false">IF(B47="","",IF(ISNUMBER(Audit!$I$99),Audit!$I$99,IF(G47=0,"",CHOOSE(G47,IF(ISNUMBER(Audit!$C$26),Audit!$C$26,1),1,1,1,$AF$33,$AF$30,$AF$31,1,"",1,0))))</f>
        <v/>
      </c>
      <c r="L47" s="0" t="str">
        <f aca="false">IF(O47=1,ROUND(MAX(H47*K47,IF(ISNUMBER(Audit!$J$99),Audit!$J$99,0)),2),"")</f>
        <v/>
      </c>
      <c r="M47" s="0" t="str">
        <f aca="false">IF(O47=1,ROUND(L47*(1+Y47),2),"")</f>
        <v/>
      </c>
      <c r="N47" s="0" t="str">
        <f aca="false">IF(O47=1,IF(ISNUMBER(J47),ROUND(M47*J47,2),""),"")</f>
        <v/>
      </c>
      <c r="O47" s="0" t="n">
        <f aca="false">IF(AND(B47&lt;&gt;"",OR(F47="Firm",F47="Estimate",F47="If required"),ISNUMBER(H47),G47&gt;0,G47&lt;&gt;11,ISNUMBER(K47)),1,0)</f>
        <v>0</v>
      </c>
      <c r="P47" s="0" t="str">
        <f aca="false">IF(ISNUMBER(Audit!$L$99),Audit!$L$99,"")</f>
        <v/>
      </c>
      <c r="Q47" s="0" t="str">
        <f aca="false">IF(B47="","",IF(OR(F47="At cost",F47="TBC"),"Not priced ("&amp;F47&amp;")",IF(OR(F47="Included",F47="Excluded",F47="Not applicable"),F47,IF(F47="","Status missing",IF(AND(F47="If required",NOT(ISNUMBER(H47))),"Not priced (if required)",IF(G47=0,"Basis missing",IF(G47=11,"Not priced (at cost)",IF(NOT(ISNUMBER(H47)),"Rate missing",IF(AND(G47=9,NOT(ISNUMBER(Audit!$I$99))),"Base amount missing",IF(NOT(ISNUMBER(J47)),"Exchange rate missing",IF(NOT(ISNUMBER(P47)),"Calculated — Not Independently Verified",IF(ABS(R47)&lt;=Lists!$B$44,"Verified","Error - differs by "&amp;TEXT(R47,"#,##0.00")&amp;" "&amp;I47))))))))))))</f>
        <v/>
      </c>
      <c r="R47" s="0" t="str">
        <f aca="false">IF(AND(O47=1,ISNUMBER(P47)),IF(ABS(P47-L47)&lt;=ABS(P47-M47),P47-L47,P47-M47),"")</f>
        <v/>
      </c>
      <c r="S47" s="0" t="n">
        <f aca="false">IF(AND(O47=1,ISNUMBER(Audit!$M$99),ISNUMBER(J47)),IF(H47-Audit!$M$99&gt;0.005,ROUND((H47-Audit!$M$99)*K47*(1+Y47)*J47,2),0),0)</f>
        <v>0</v>
      </c>
      <c r="T47" s="0" t="str">
        <f aca="false">Audit!$N$99&amp;""</f>
        <v/>
      </c>
      <c r="U47" s="0" t="n">
        <f aca="false">IF(B47="",0,IF(COUNTIFS($B$2:$B$51,B47,$D$2:$D$51,D47)&gt;1,1,0))</f>
        <v>0</v>
      </c>
      <c r="V47" s="0" t="str">
        <f aca="false">IF(D47="","",IFERROR(INDEX(Audit!$C$43:$C$49,MATCH(D47,Lists!$A$30:$A$36,0)),""))</f>
        <v/>
      </c>
      <c r="W47" s="0" t="n">
        <f aca="false">IF(AND(B47&lt;&gt;"",OR(F47="At cost",F47="TBC",AND(F47&lt;&gt;"If required",G47=11))),1,0)</f>
        <v>0</v>
      </c>
      <c r="X47" s="0" t="str">
        <f aca="false">IF(B47="","",IF(T47&lt;&gt;"","flag",IF(F47="","status",IF(AND(G47=0,OR(F47="Firm",F47="Estimate",AND(F47="If required",ISNUMBER(H47)))),"basis",IF(AND(OR(F47="Firm",F47="Estimate"),G47&lt;&gt;11,NOT(ISNUMBER(H47))),"rate",IF(AND(O47=0,G47=9,OR(F47="Firm",F47="Estimate"),ISNUMBER(H47)),"base",IF(OR(C47="",C47="Unclassified"),"unclass",IF(U47=1,"dup",IF(AND(Audit!$C$19="Yes",O47=1,NOT(ISNUMBER(Audit!$M$99))),"noagree","")))))))))</f>
        <v/>
      </c>
      <c r="Y47" s="0" t="n">
        <f aca="false">IF(ISNUMBER(Audit!$K$99),Audit!$K$99,0)</f>
        <v>0</v>
      </c>
      <c r="Z47" s="0" t="n">
        <f aca="false">IF(AND(F47="Firm",O47=1,ISNUMBER(J47)),L47*J47,0)</f>
        <v>0</v>
      </c>
    </row>
    <row r="48" customFormat="false" ht="15" hidden="false" customHeight="false" outlineLevel="0" collapsed="false">
      <c r="A48" s="0" t="n">
        <v>47</v>
      </c>
      <c r="B48" s="0" t="str">
        <f aca="false">TRIM(Audit!$B$100)</f>
        <v/>
      </c>
      <c r="C48" s="0" t="str">
        <f aca="false">Audit!$C$100&amp;""</f>
        <v/>
      </c>
      <c r="D48" s="0" t="str">
        <f aca="false">IF(B48="","",IF(C48="","Other",IFERROR(INDEX(Lists!$C$4:$C$16,MATCH(C48,Lists!$A$4:$A$16,0)),"Other")))</f>
        <v/>
      </c>
      <c r="E48" s="0" t="str">
        <f aca="false">IF(B48="","",IF(C48="","Other",IFERROR(INDEX(Lists!$B$4:$B$16,MATCH(C48,Lists!$A$4:$A$16,0)),"Other")))</f>
        <v/>
      </c>
      <c r="F48" s="0" t="str">
        <f aca="false">Audit!$G$100&amp;""</f>
        <v/>
      </c>
      <c r="G48" s="0" t="n">
        <f aca="false">IFERROR(MATCH(Audit!$D$100,Lists!$E$4:$E$14,0),0)</f>
        <v>0</v>
      </c>
      <c r="H48" s="0" t="str">
        <f aca="false">IF(ISNUMBER(Audit!$E$100),Audit!$E$100,"")</f>
        <v/>
      </c>
      <c r="I48" s="0" t="n">
        <f aca="false">IF(TRIM(Audit!$F$100)="",Audit!$C$25,TRIM(Audit!$F$100))</f>
        <v>0</v>
      </c>
      <c r="J48" s="0" t="n">
        <f aca="false">IF(OR(I48=Audit!$C$25,I48=""),1,IF(AND(I48=Audit!$C$31,ISNUMBER(Audit!$J$31)),Audit!$J$31,IF(AND(I48=Audit!$C$32,ISNUMBER(Audit!$J$32)),Audit!$J$32,"")))</f>
        <v>1</v>
      </c>
      <c r="K48" s="0" t="str">
        <f aca="false">IF(B48="","",IF(ISNUMBER(Audit!$I$100),Audit!$I$100,IF(G48=0,"",CHOOSE(G48,IF(ISNUMBER(Audit!$C$26),Audit!$C$26,1),1,1,1,$AF$33,$AF$30,$AF$31,1,"",1,0))))</f>
        <v/>
      </c>
      <c r="L48" s="0" t="str">
        <f aca="false">IF(O48=1,ROUND(MAX(H48*K48,IF(ISNUMBER(Audit!$J$100),Audit!$J$100,0)),2),"")</f>
        <v/>
      </c>
      <c r="M48" s="0" t="str">
        <f aca="false">IF(O48=1,ROUND(L48*(1+Y48),2),"")</f>
        <v/>
      </c>
      <c r="N48" s="0" t="str">
        <f aca="false">IF(O48=1,IF(ISNUMBER(J48),ROUND(M48*J48,2),""),"")</f>
        <v/>
      </c>
      <c r="O48" s="0" t="n">
        <f aca="false">IF(AND(B48&lt;&gt;"",OR(F48="Firm",F48="Estimate",F48="If required"),ISNUMBER(H48),G48&gt;0,G48&lt;&gt;11,ISNUMBER(K48)),1,0)</f>
        <v>0</v>
      </c>
      <c r="P48" s="0" t="str">
        <f aca="false">IF(ISNUMBER(Audit!$L$100),Audit!$L$100,"")</f>
        <v/>
      </c>
      <c r="Q48" s="0" t="str">
        <f aca="false">IF(B48="","",IF(OR(F48="At cost",F48="TBC"),"Not priced ("&amp;F48&amp;")",IF(OR(F48="Included",F48="Excluded",F48="Not applicable"),F48,IF(F48="","Status missing",IF(AND(F48="If required",NOT(ISNUMBER(H48))),"Not priced (if required)",IF(G48=0,"Basis missing",IF(G48=11,"Not priced (at cost)",IF(NOT(ISNUMBER(H48)),"Rate missing",IF(AND(G48=9,NOT(ISNUMBER(Audit!$I$100))),"Base amount missing",IF(NOT(ISNUMBER(J48)),"Exchange rate missing",IF(NOT(ISNUMBER(P48)),"Calculated — Not Independently Verified",IF(ABS(R48)&lt;=Lists!$B$44,"Verified","Error - differs by "&amp;TEXT(R48,"#,##0.00")&amp;" "&amp;I48))))))))))))</f>
        <v/>
      </c>
      <c r="R48" s="0" t="str">
        <f aca="false">IF(AND(O48=1,ISNUMBER(P48)),IF(ABS(P48-L48)&lt;=ABS(P48-M48),P48-L48,P48-M48),"")</f>
        <v/>
      </c>
      <c r="S48" s="0" t="n">
        <f aca="false">IF(AND(O48=1,ISNUMBER(Audit!$M$100),ISNUMBER(J48)),IF(H48-Audit!$M$100&gt;0.005,ROUND((H48-Audit!$M$100)*K48*(1+Y48)*J48,2),0),0)</f>
        <v>0</v>
      </c>
      <c r="T48" s="0" t="str">
        <f aca="false">Audit!$N$100&amp;""</f>
        <v/>
      </c>
      <c r="U48" s="0" t="n">
        <f aca="false">IF(B48="",0,IF(COUNTIFS($B$2:$B$51,B48,$D$2:$D$51,D48)&gt;1,1,0))</f>
        <v>0</v>
      </c>
      <c r="V48" s="0" t="str">
        <f aca="false">IF(D48="","",IFERROR(INDEX(Audit!$C$43:$C$49,MATCH(D48,Lists!$A$30:$A$36,0)),""))</f>
        <v/>
      </c>
      <c r="W48" s="0" t="n">
        <f aca="false">IF(AND(B48&lt;&gt;"",OR(F48="At cost",F48="TBC",AND(F48&lt;&gt;"If required",G48=11))),1,0)</f>
        <v>0</v>
      </c>
      <c r="X48" s="0" t="str">
        <f aca="false">IF(B48="","",IF(T48&lt;&gt;"","flag",IF(F48="","status",IF(AND(G48=0,OR(F48="Firm",F48="Estimate",AND(F48="If required",ISNUMBER(H48)))),"basis",IF(AND(OR(F48="Firm",F48="Estimate"),G48&lt;&gt;11,NOT(ISNUMBER(H48))),"rate",IF(AND(O48=0,G48=9,OR(F48="Firm",F48="Estimate"),ISNUMBER(H48)),"base",IF(OR(C48="",C48="Unclassified"),"unclass",IF(U48=1,"dup",IF(AND(Audit!$C$19="Yes",O48=1,NOT(ISNUMBER(Audit!$M$100))),"noagree","")))))))))</f>
        <v/>
      </c>
      <c r="Y48" s="0" t="n">
        <f aca="false">IF(ISNUMBER(Audit!$K$100),Audit!$K$100,0)</f>
        <v>0</v>
      </c>
      <c r="Z48" s="0" t="n">
        <f aca="false">IF(AND(F48="Firm",O48=1,ISNUMBER(J48)),L48*J48,0)</f>
        <v>0</v>
      </c>
    </row>
    <row r="49" customFormat="false" ht="15" hidden="false" customHeight="false" outlineLevel="0" collapsed="false">
      <c r="A49" s="0" t="n">
        <v>48</v>
      </c>
      <c r="B49" s="0" t="str">
        <f aca="false">TRIM(Audit!$B$101)</f>
        <v/>
      </c>
      <c r="C49" s="0" t="str">
        <f aca="false">Audit!$C$101&amp;""</f>
        <v/>
      </c>
      <c r="D49" s="0" t="str">
        <f aca="false">IF(B49="","",IF(C49="","Other",IFERROR(INDEX(Lists!$C$4:$C$16,MATCH(C49,Lists!$A$4:$A$16,0)),"Other")))</f>
        <v/>
      </c>
      <c r="E49" s="0" t="str">
        <f aca="false">IF(B49="","",IF(C49="","Other",IFERROR(INDEX(Lists!$B$4:$B$16,MATCH(C49,Lists!$A$4:$A$16,0)),"Other")))</f>
        <v/>
      </c>
      <c r="F49" s="0" t="str">
        <f aca="false">Audit!$G$101&amp;""</f>
        <v/>
      </c>
      <c r="G49" s="0" t="n">
        <f aca="false">IFERROR(MATCH(Audit!$D$101,Lists!$E$4:$E$14,0),0)</f>
        <v>0</v>
      </c>
      <c r="H49" s="0" t="str">
        <f aca="false">IF(ISNUMBER(Audit!$E$101),Audit!$E$101,"")</f>
        <v/>
      </c>
      <c r="I49" s="0" t="n">
        <f aca="false">IF(TRIM(Audit!$F$101)="",Audit!$C$25,TRIM(Audit!$F$101))</f>
        <v>0</v>
      </c>
      <c r="J49" s="0" t="n">
        <f aca="false">IF(OR(I49=Audit!$C$25,I49=""),1,IF(AND(I49=Audit!$C$31,ISNUMBER(Audit!$J$31)),Audit!$J$31,IF(AND(I49=Audit!$C$32,ISNUMBER(Audit!$J$32)),Audit!$J$32,"")))</f>
        <v>1</v>
      </c>
      <c r="K49" s="0" t="str">
        <f aca="false">IF(B49="","",IF(ISNUMBER(Audit!$I$101),Audit!$I$101,IF(G49=0,"",CHOOSE(G49,IF(ISNUMBER(Audit!$C$26),Audit!$C$26,1),1,1,1,$AF$33,$AF$30,$AF$31,1,"",1,0))))</f>
        <v/>
      </c>
      <c r="L49" s="0" t="str">
        <f aca="false">IF(O49=1,ROUND(MAX(H49*K49,IF(ISNUMBER(Audit!$J$101),Audit!$J$101,0)),2),"")</f>
        <v/>
      </c>
      <c r="M49" s="0" t="str">
        <f aca="false">IF(O49=1,ROUND(L49*(1+Y49),2),"")</f>
        <v/>
      </c>
      <c r="N49" s="0" t="str">
        <f aca="false">IF(O49=1,IF(ISNUMBER(J49),ROUND(M49*J49,2),""),"")</f>
        <v/>
      </c>
      <c r="O49" s="0" t="n">
        <f aca="false">IF(AND(B49&lt;&gt;"",OR(F49="Firm",F49="Estimate",F49="If required"),ISNUMBER(H49),G49&gt;0,G49&lt;&gt;11,ISNUMBER(K49)),1,0)</f>
        <v>0</v>
      </c>
      <c r="P49" s="0" t="str">
        <f aca="false">IF(ISNUMBER(Audit!$L$101),Audit!$L$101,"")</f>
        <v/>
      </c>
      <c r="Q49" s="0" t="str">
        <f aca="false">IF(B49="","",IF(OR(F49="At cost",F49="TBC"),"Not priced ("&amp;F49&amp;")",IF(OR(F49="Included",F49="Excluded",F49="Not applicable"),F49,IF(F49="","Status missing",IF(AND(F49="If required",NOT(ISNUMBER(H49))),"Not priced (if required)",IF(G49=0,"Basis missing",IF(G49=11,"Not priced (at cost)",IF(NOT(ISNUMBER(H49)),"Rate missing",IF(AND(G49=9,NOT(ISNUMBER(Audit!$I$101))),"Base amount missing",IF(NOT(ISNUMBER(J49)),"Exchange rate missing",IF(NOT(ISNUMBER(P49)),"Calculated — Not Independently Verified",IF(ABS(R49)&lt;=Lists!$B$44,"Verified","Error - differs by "&amp;TEXT(R49,"#,##0.00")&amp;" "&amp;I49))))))))))))</f>
        <v/>
      </c>
      <c r="R49" s="0" t="str">
        <f aca="false">IF(AND(O49=1,ISNUMBER(P49)),IF(ABS(P49-L49)&lt;=ABS(P49-M49),P49-L49,P49-M49),"")</f>
        <v/>
      </c>
      <c r="S49" s="0" t="n">
        <f aca="false">IF(AND(O49=1,ISNUMBER(Audit!$M$101),ISNUMBER(J49)),IF(H49-Audit!$M$101&gt;0.005,ROUND((H49-Audit!$M$101)*K49*(1+Y49)*J49,2),0),0)</f>
        <v>0</v>
      </c>
      <c r="T49" s="0" t="str">
        <f aca="false">Audit!$N$101&amp;""</f>
        <v/>
      </c>
      <c r="U49" s="0" t="n">
        <f aca="false">IF(B49="",0,IF(COUNTIFS($B$2:$B$51,B49,$D$2:$D$51,D49)&gt;1,1,0))</f>
        <v>0</v>
      </c>
      <c r="V49" s="0" t="str">
        <f aca="false">IF(D49="","",IFERROR(INDEX(Audit!$C$43:$C$49,MATCH(D49,Lists!$A$30:$A$36,0)),""))</f>
        <v/>
      </c>
      <c r="W49" s="0" t="n">
        <f aca="false">IF(AND(B49&lt;&gt;"",OR(F49="At cost",F49="TBC",AND(F49&lt;&gt;"If required",G49=11))),1,0)</f>
        <v>0</v>
      </c>
      <c r="X49" s="0" t="str">
        <f aca="false">IF(B49="","",IF(T49&lt;&gt;"","flag",IF(F49="","status",IF(AND(G49=0,OR(F49="Firm",F49="Estimate",AND(F49="If required",ISNUMBER(H49)))),"basis",IF(AND(OR(F49="Firm",F49="Estimate"),G49&lt;&gt;11,NOT(ISNUMBER(H49))),"rate",IF(AND(O49=0,G49=9,OR(F49="Firm",F49="Estimate"),ISNUMBER(H49)),"base",IF(OR(C49="",C49="Unclassified"),"unclass",IF(U49=1,"dup",IF(AND(Audit!$C$19="Yes",O49=1,NOT(ISNUMBER(Audit!$M$101))),"noagree","")))))))))</f>
        <v/>
      </c>
      <c r="Y49" s="0" t="n">
        <f aca="false">IF(ISNUMBER(Audit!$K$101),Audit!$K$101,0)</f>
        <v>0</v>
      </c>
      <c r="Z49" s="0" t="n">
        <f aca="false">IF(AND(F49="Firm",O49=1,ISNUMBER(J49)),L49*J49,0)</f>
        <v>0</v>
      </c>
    </row>
    <row r="50" customFormat="false" ht="15" hidden="false" customHeight="false" outlineLevel="0" collapsed="false">
      <c r="A50" s="0" t="n">
        <v>49</v>
      </c>
      <c r="B50" s="0" t="str">
        <f aca="false">TRIM(Audit!$B$102)</f>
        <v/>
      </c>
      <c r="C50" s="0" t="str">
        <f aca="false">Audit!$C$102&amp;""</f>
        <v/>
      </c>
      <c r="D50" s="0" t="str">
        <f aca="false">IF(B50="","",IF(C50="","Other",IFERROR(INDEX(Lists!$C$4:$C$16,MATCH(C50,Lists!$A$4:$A$16,0)),"Other")))</f>
        <v/>
      </c>
      <c r="E50" s="0" t="str">
        <f aca="false">IF(B50="","",IF(C50="","Other",IFERROR(INDEX(Lists!$B$4:$B$16,MATCH(C50,Lists!$A$4:$A$16,0)),"Other")))</f>
        <v/>
      </c>
      <c r="F50" s="0" t="str">
        <f aca="false">Audit!$G$102&amp;""</f>
        <v/>
      </c>
      <c r="G50" s="0" t="n">
        <f aca="false">IFERROR(MATCH(Audit!$D$102,Lists!$E$4:$E$14,0),0)</f>
        <v>0</v>
      </c>
      <c r="H50" s="0" t="str">
        <f aca="false">IF(ISNUMBER(Audit!$E$102),Audit!$E$102,"")</f>
        <v/>
      </c>
      <c r="I50" s="0" t="n">
        <f aca="false">IF(TRIM(Audit!$F$102)="",Audit!$C$25,TRIM(Audit!$F$102))</f>
        <v>0</v>
      </c>
      <c r="J50" s="0" t="n">
        <f aca="false">IF(OR(I50=Audit!$C$25,I50=""),1,IF(AND(I50=Audit!$C$31,ISNUMBER(Audit!$J$31)),Audit!$J$31,IF(AND(I50=Audit!$C$32,ISNUMBER(Audit!$J$32)),Audit!$J$32,"")))</f>
        <v>1</v>
      </c>
      <c r="K50" s="0" t="str">
        <f aca="false">IF(B50="","",IF(ISNUMBER(Audit!$I$102),Audit!$I$102,IF(G50=0,"",CHOOSE(G50,IF(ISNUMBER(Audit!$C$26),Audit!$C$26,1),1,1,1,$AF$33,$AF$30,$AF$31,1,"",1,0))))</f>
        <v/>
      </c>
      <c r="L50" s="0" t="str">
        <f aca="false">IF(O50=1,ROUND(MAX(H50*K50,IF(ISNUMBER(Audit!$J$102),Audit!$J$102,0)),2),"")</f>
        <v/>
      </c>
      <c r="M50" s="0" t="str">
        <f aca="false">IF(O50=1,ROUND(L50*(1+Y50),2),"")</f>
        <v/>
      </c>
      <c r="N50" s="0" t="str">
        <f aca="false">IF(O50=1,IF(ISNUMBER(J50),ROUND(M50*J50,2),""),"")</f>
        <v/>
      </c>
      <c r="O50" s="0" t="n">
        <f aca="false">IF(AND(B50&lt;&gt;"",OR(F50="Firm",F50="Estimate",F50="If required"),ISNUMBER(H50),G50&gt;0,G50&lt;&gt;11,ISNUMBER(K50)),1,0)</f>
        <v>0</v>
      </c>
      <c r="P50" s="0" t="str">
        <f aca="false">IF(ISNUMBER(Audit!$L$102),Audit!$L$102,"")</f>
        <v/>
      </c>
      <c r="Q50" s="0" t="str">
        <f aca="false">IF(B50="","",IF(OR(F50="At cost",F50="TBC"),"Not priced ("&amp;F50&amp;")",IF(OR(F50="Included",F50="Excluded",F50="Not applicable"),F50,IF(F50="","Status missing",IF(AND(F50="If required",NOT(ISNUMBER(H50))),"Not priced (if required)",IF(G50=0,"Basis missing",IF(G50=11,"Not priced (at cost)",IF(NOT(ISNUMBER(H50)),"Rate missing",IF(AND(G50=9,NOT(ISNUMBER(Audit!$I$102))),"Base amount missing",IF(NOT(ISNUMBER(J50)),"Exchange rate missing",IF(NOT(ISNUMBER(P50)),"Calculated — Not Independently Verified",IF(ABS(R50)&lt;=Lists!$B$44,"Verified","Error - differs by "&amp;TEXT(R50,"#,##0.00")&amp;" "&amp;I50))))))))))))</f>
        <v/>
      </c>
      <c r="R50" s="0" t="str">
        <f aca="false">IF(AND(O50=1,ISNUMBER(P50)),IF(ABS(P50-L50)&lt;=ABS(P50-M50),P50-L50,P50-M50),"")</f>
        <v/>
      </c>
      <c r="S50" s="0" t="n">
        <f aca="false">IF(AND(O50=1,ISNUMBER(Audit!$M$102),ISNUMBER(J50)),IF(H50-Audit!$M$102&gt;0.005,ROUND((H50-Audit!$M$102)*K50*(1+Y50)*J50,2),0),0)</f>
        <v>0</v>
      </c>
      <c r="T50" s="0" t="str">
        <f aca="false">Audit!$N$102&amp;""</f>
        <v/>
      </c>
      <c r="U50" s="0" t="n">
        <f aca="false">IF(B50="",0,IF(COUNTIFS($B$2:$B$51,B50,$D$2:$D$51,D50)&gt;1,1,0))</f>
        <v>0</v>
      </c>
      <c r="V50" s="0" t="str">
        <f aca="false">IF(D50="","",IFERROR(INDEX(Audit!$C$43:$C$49,MATCH(D50,Lists!$A$30:$A$36,0)),""))</f>
        <v/>
      </c>
      <c r="W50" s="0" t="n">
        <f aca="false">IF(AND(B50&lt;&gt;"",OR(F50="At cost",F50="TBC",AND(F50&lt;&gt;"If required",G50=11))),1,0)</f>
        <v>0</v>
      </c>
      <c r="X50" s="0" t="str">
        <f aca="false">IF(B50="","",IF(T50&lt;&gt;"","flag",IF(F50="","status",IF(AND(G50=0,OR(F50="Firm",F50="Estimate",AND(F50="If required",ISNUMBER(H50)))),"basis",IF(AND(OR(F50="Firm",F50="Estimate"),G50&lt;&gt;11,NOT(ISNUMBER(H50))),"rate",IF(AND(O50=0,G50=9,OR(F50="Firm",F50="Estimate"),ISNUMBER(H50)),"base",IF(OR(C50="",C50="Unclassified"),"unclass",IF(U50=1,"dup",IF(AND(Audit!$C$19="Yes",O50=1,NOT(ISNUMBER(Audit!$M$102))),"noagree","")))))))))</f>
        <v/>
      </c>
      <c r="Y50" s="0" t="n">
        <f aca="false">IF(ISNUMBER(Audit!$K$102),Audit!$K$102,0)</f>
        <v>0</v>
      </c>
      <c r="Z50" s="0" t="n">
        <f aca="false">IF(AND(F50="Firm",O50=1,ISNUMBER(J50)),L50*J50,0)</f>
        <v>0</v>
      </c>
    </row>
    <row r="51" customFormat="false" ht="15" hidden="false" customHeight="false" outlineLevel="0" collapsed="false">
      <c r="A51" s="0" t="n">
        <v>50</v>
      </c>
      <c r="B51" s="0" t="str">
        <f aca="false">TRIM(Audit!$B$103)</f>
        <v/>
      </c>
      <c r="C51" s="0" t="str">
        <f aca="false">Audit!$C$103&amp;""</f>
        <v/>
      </c>
      <c r="D51" s="0" t="str">
        <f aca="false">IF(B51="","",IF(C51="","Other",IFERROR(INDEX(Lists!$C$4:$C$16,MATCH(C51,Lists!$A$4:$A$16,0)),"Other")))</f>
        <v/>
      </c>
      <c r="E51" s="0" t="str">
        <f aca="false">IF(B51="","",IF(C51="","Other",IFERROR(INDEX(Lists!$B$4:$B$16,MATCH(C51,Lists!$A$4:$A$16,0)),"Other")))</f>
        <v/>
      </c>
      <c r="F51" s="0" t="str">
        <f aca="false">Audit!$G$103&amp;""</f>
        <v/>
      </c>
      <c r="G51" s="0" t="n">
        <f aca="false">IFERROR(MATCH(Audit!$D$103,Lists!$E$4:$E$14,0),0)</f>
        <v>0</v>
      </c>
      <c r="H51" s="0" t="str">
        <f aca="false">IF(ISNUMBER(Audit!$E$103),Audit!$E$103,"")</f>
        <v/>
      </c>
      <c r="I51" s="0" t="n">
        <f aca="false">IF(TRIM(Audit!$F$103)="",Audit!$C$25,TRIM(Audit!$F$103))</f>
        <v>0</v>
      </c>
      <c r="J51" s="0" t="n">
        <f aca="false">IF(OR(I51=Audit!$C$25,I51=""),1,IF(AND(I51=Audit!$C$31,ISNUMBER(Audit!$J$31)),Audit!$J$31,IF(AND(I51=Audit!$C$32,ISNUMBER(Audit!$J$32)),Audit!$J$32,"")))</f>
        <v>1</v>
      </c>
      <c r="K51" s="0" t="str">
        <f aca="false">IF(B51="","",IF(ISNUMBER(Audit!$I$103),Audit!$I$103,IF(G51=0,"",CHOOSE(G51,IF(ISNUMBER(Audit!$C$26),Audit!$C$26,1),1,1,1,$AF$33,$AF$30,$AF$31,1,"",1,0))))</f>
        <v/>
      </c>
      <c r="L51" s="0" t="str">
        <f aca="false">IF(O51=1,ROUND(MAX(H51*K51,IF(ISNUMBER(Audit!$J$103),Audit!$J$103,0)),2),"")</f>
        <v/>
      </c>
      <c r="M51" s="0" t="str">
        <f aca="false">IF(O51=1,ROUND(L51*(1+Y51),2),"")</f>
        <v/>
      </c>
      <c r="N51" s="0" t="str">
        <f aca="false">IF(O51=1,IF(ISNUMBER(J51),ROUND(M51*J51,2),""),"")</f>
        <v/>
      </c>
      <c r="O51" s="0" t="n">
        <f aca="false">IF(AND(B51&lt;&gt;"",OR(F51="Firm",F51="Estimate",F51="If required"),ISNUMBER(H51),G51&gt;0,G51&lt;&gt;11,ISNUMBER(K51)),1,0)</f>
        <v>0</v>
      </c>
      <c r="P51" s="0" t="str">
        <f aca="false">IF(ISNUMBER(Audit!$L$103),Audit!$L$103,"")</f>
        <v/>
      </c>
      <c r="Q51" s="0" t="str">
        <f aca="false">IF(B51="","",IF(OR(F51="At cost",F51="TBC"),"Not priced ("&amp;F51&amp;")",IF(OR(F51="Included",F51="Excluded",F51="Not applicable"),F51,IF(F51="","Status missing",IF(AND(F51="If required",NOT(ISNUMBER(H51))),"Not priced (if required)",IF(G51=0,"Basis missing",IF(G51=11,"Not priced (at cost)",IF(NOT(ISNUMBER(H51)),"Rate missing",IF(AND(G51=9,NOT(ISNUMBER(Audit!$I$103))),"Base amount missing",IF(NOT(ISNUMBER(J51)),"Exchange rate missing",IF(NOT(ISNUMBER(P51)),"Calculated — Not Independently Verified",IF(ABS(R51)&lt;=Lists!$B$44,"Verified","Error - differs by "&amp;TEXT(R51,"#,##0.00")&amp;" "&amp;I51))))))))))))</f>
        <v/>
      </c>
      <c r="R51" s="0" t="str">
        <f aca="false">IF(AND(O51=1,ISNUMBER(P51)),IF(ABS(P51-L51)&lt;=ABS(P51-M51),P51-L51,P51-M51),"")</f>
        <v/>
      </c>
      <c r="S51" s="0" t="n">
        <f aca="false">IF(AND(O51=1,ISNUMBER(Audit!$M$103),ISNUMBER(J51)),IF(H51-Audit!$M$103&gt;0.005,ROUND((H51-Audit!$M$103)*K51*(1+Y51)*J51,2),0),0)</f>
        <v>0</v>
      </c>
      <c r="T51" s="0" t="str">
        <f aca="false">Audit!$N$103&amp;""</f>
        <v/>
      </c>
      <c r="U51" s="0" t="n">
        <f aca="false">IF(B51="",0,IF(COUNTIFS($B$2:$B$51,B51,$D$2:$D$51,D51)&gt;1,1,0))</f>
        <v>0</v>
      </c>
      <c r="V51" s="0" t="str">
        <f aca="false">IF(D51="","",IFERROR(INDEX(Audit!$C$43:$C$49,MATCH(D51,Lists!$A$30:$A$36,0)),""))</f>
        <v/>
      </c>
      <c r="W51" s="0" t="n">
        <f aca="false">IF(AND(B51&lt;&gt;"",OR(F51="At cost",F51="TBC",AND(F51&lt;&gt;"If required",G51=11))),1,0)</f>
        <v>0</v>
      </c>
      <c r="X51" s="0" t="str">
        <f aca="false">IF(B51="","",IF(T51&lt;&gt;"","flag",IF(F51="","status",IF(AND(G51=0,OR(F51="Firm",F51="Estimate",AND(F51="If required",ISNUMBER(H51)))),"basis",IF(AND(OR(F51="Firm",F51="Estimate"),G51&lt;&gt;11,NOT(ISNUMBER(H51))),"rate",IF(AND(O51=0,G51=9,OR(F51="Firm",F51="Estimate"),ISNUMBER(H51)),"base",IF(OR(C51="",C51="Unclassified"),"unclass",IF(U51=1,"dup",IF(AND(Audit!$C$19="Yes",O51=1,NOT(ISNUMBER(Audit!$M$103))),"noagree","")))))))))</f>
        <v/>
      </c>
      <c r="Y51" s="0" t="n">
        <f aca="false">IF(ISNUMBER(Audit!$K$103),Audit!$K$103,0)</f>
        <v>0</v>
      </c>
      <c r="Z51" s="0" t="n">
        <f aca="false">IF(AND(F51="Firm",O51=1,ISNUMBER(J51)),L51*J51,0)</f>
        <v>0</v>
      </c>
    </row>
    <row r="54" customFormat="false" ht="15" hidden="false" customHeight="false" outlineLevel="0" collapsed="false">
      <c r="A54" s="0" t="s">
        <v>113</v>
      </c>
      <c r="B54" s="0" t="s">
        <v>184</v>
      </c>
      <c r="C54" s="0" t="s">
        <v>301</v>
      </c>
      <c r="D54" s="0" t="s">
        <v>328</v>
      </c>
      <c r="E54" s="0" t="s">
        <v>218</v>
      </c>
      <c r="F54" s="0" t="s">
        <v>222</v>
      </c>
      <c r="G54" s="0" t="s">
        <v>329</v>
      </c>
      <c r="H54" s="0" t="s">
        <v>330</v>
      </c>
      <c r="I54" s="0" t="s">
        <v>331</v>
      </c>
      <c r="J54" s="0" t="s">
        <v>185</v>
      </c>
      <c r="K54" s="0" t="s">
        <v>187</v>
      </c>
      <c r="L54" s="0" t="s">
        <v>332</v>
      </c>
      <c r="M54" s="0" t="s">
        <v>333</v>
      </c>
      <c r="N54" s="0" t="s">
        <v>334</v>
      </c>
    </row>
    <row r="55" customFormat="false" ht="15" hidden="false" customHeight="false" outlineLevel="0" collapsed="false">
      <c r="A55" s="0" t="s">
        <v>120</v>
      </c>
      <c r="B55" s="0" t="str">
        <f aca="false">Audit!$C$43&amp;""</f>
        <v/>
      </c>
      <c r="C55" s="0" t="n">
        <f aca="false">SUMIFS($O$2:$O$51,$D$2:$D$51,A55)</f>
        <v>0</v>
      </c>
      <c r="D55" s="0" t="n">
        <f aca="false">SUMIFS($W$2:$W$51,$D$2:$D$51,A55)</f>
        <v>0</v>
      </c>
      <c r="E55" s="0" t="n">
        <f aca="false">COUNTIFS($D$2:$D$51,A55,$F$2:$F$51,"Included")</f>
        <v>0</v>
      </c>
      <c r="F55" s="0" t="n">
        <f aca="false">COUNTIFS($D$2:$D$51,A55,$F$2:$F$51,"Excluded")</f>
        <v>0</v>
      </c>
      <c r="G55" s="0" t="n">
        <f aca="false">COUNTIFS($D$2:$D$51,A55,$F$2:$F$51,"Not applicable")</f>
        <v>0</v>
      </c>
      <c r="H55" s="0" t="str">
        <f aca="false">IF(C55&gt;0,"Priced",IF(D55&gt;0,"Unpriced",IF(E55&gt;0,"Included",IF(F55&gt;0,"Excluded",IF(G55&gt;0,"Not applicable","No lines")))))</f>
        <v>No lines</v>
      </c>
      <c r="I55" s="0" t="str">
        <f aca="false">Audit!$G$43&amp;""</f>
        <v/>
      </c>
      <c r="J55" s="0" t="str">
        <f aca="false">IF(I55&lt;&gt;"",I55,IF(H55="No lines",IF(B55="Yes","Not addressed","-"),H55))</f>
        <v>-</v>
      </c>
      <c r="K55" s="0" t="n">
        <f aca="false">SUMIFS($N$2:$N$51,$D$2:$D$51,A55,$F$2:$F$51,"Firm")</f>
        <v>0</v>
      </c>
      <c r="L55" s="0" t="str">
        <f aca="false">IFERROR(INDEX(Lists!$J$4:$P$14,MATCH(Audit!$C$8,Lists!$I$4:$I$14,0),1),"")</f>
        <v/>
      </c>
      <c r="M55" s="0" t="n">
        <f aca="false">COUNTIFS($D$2:$D$51,A55,$F$2:$F$51,"Firm",$O$2:$O$51,1)</f>
        <v>0</v>
      </c>
      <c r="N55" s="0" t="str">
        <f aca="false">IF(AND(Audit!$J$7="Buyer",L55="Seller"),"seller",IF(AND(Audit!$J$7="Seller",L55="Buyer"),"buyer",""))</f>
        <v/>
      </c>
    </row>
    <row r="56" customFormat="false" ht="15" hidden="false" customHeight="false" outlineLevel="0" collapsed="false">
      <c r="A56" s="0" t="s">
        <v>121</v>
      </c>
      <c r="B56" s="0" t="str">
        <f aca="false">Audit!$C$44&amp;""</f>
        <v/>
      </c>
      <c r="C56" s="0" t="n">
        <f aca="false">SUMIFS($O$2:$O$51,$D$2:$D$51,A56)</f>
        <v>0</v>
      </c>
      <c r="D56" s="0" t="n">
        <f aca="false">SUMIFS($W$2:$W$51,$D$2:$D$51,A56)</f>
        <v>0</v>
      </c>
      <c r="E56" s="0" t="n">
        <f aca="false">COUNTIFS($D$2:$D$51,A56,$F$2:$F$51,"Included")</f>
        <v>0</v>
      </c>
      <c r="F56" s="0" t="n">
        <f aca="false">COUNTIFS($D$2:$D$51,A56,$F$2:$F$51,"Excluded")</f>
        <v>0</v>
      </c>
      <c r="G56" s="0" t="n">
        <f aca="false">COUNTIFS($D$2:$D$51,A56,$F$2:$F$51,"Not applicable")</f>
        <v>0</v>
      </c>
      <c r="H56" s="0" t="str">
        <f aca="false">IF(C56&gt;0,"Priced",IF(D56&gt;0,"Unpriced",IF(E56&gt;0,"Included",IF(F56&gt;0,"Excluded",IF(G56&gt;0,"Not applicable","No lines")))))</f>
        <v>No lines</v>
      </c>
      <c r="I56" s="0" t="str">
        <f aca="false">Audit!$G$44&amp;""</f>
        <v/>
      </c>
      <c r="J56" s="0" t="str">
        <f aca="false">IF(I56&lt;&gt;"",I56,IF(H56="No lines",IF(B56="Yes","Not addressed","-"),H56))</f>
        <v>-</v>
      </c>
      <c r="K56" s="0" t="n">
        <f aca="false">SUMIFS($N$2:$N$51,$D$2:$D$51,A56,$F$2:$F$51,"Firm")</f>
        <v>0</v>
      </c>
      <c r="L56" s="0" t="str">
        <f aca="false">IFERROR(INDEX(Lists!$J$4:$P$14,MATCH(Audit!$C$8,Lists!$I$4:$I$14,0),2),"")</f>
        <v/>
      </c>
      <c r="M56" s="0" t="n">
        <f aca="false">COUNTIFS($D$2:$D$51,A56,$F$2:$F$51,"Firm",$O$2:$O$51,1)</f>
        <v>0</v>
      </c>
      <c r="N56" s="0" t="str">
        <f aca="false">IF(AND(Audit!$J$7="Buyer",L56="Seller"),"seller",IF(AND(Audit!$J$7="Seller",L56="Buyer"),"buyer",""))</f>
        <v/>
      </c>
    </row>
    <row r="57" customFormat="false" ht="15" hidden="false" customHeight="false" outlineLevel="0" collapsed="false">
      <c r="A57" s="0" t="s">
        <v>122</v>
      </c>
      <c r="B57" s="0" t="str">
        <f aca="false">Audit!$C$45&amp;""</f>
        <v/>
      </c>
      <c r="C57" s="0" t="n">
        <f aca="false">SUMIFS($O$2:$O$51,$D$2:$D$51,A57)</f>
        <v>0</v>
      </c>
      <c r="D57" s="0" t="n">
        <f aca="false">SUMIFS($W$2:$W$51,$D$2:$D$51,A57)</f>
        <v>0</v>
      </c>
      <c r="E57" s="0" t="n">
        <f aca="false">COUNTIFS($D$2:$D$51,A57,$F$2:$F$51,"Included")</f>
        <v>0</v>
      </c>
      <c r="F57" s="0" t="n">
        <f aca="false">COUNTIFS($D$2:$D$51,A57,$F$2:$F$51,"Excluded")</f>
        <v>0</v>
      </c>
      <c r="G57" s="0" t="n">
        <f aca="false">COUNTIFS($D$2:$D$51,A57,$F$2:$F$51,"Not applicable")</f>
        <v>0</v>
      </c>
      <c r="H57" s="0" t="str">
        <f aca="false">IF(C57&gt;0,"Priced",IF(D57&gt;0,"Unpriced",IF(E57&gt;0,"Included",IF(F57&gt;0,"Excluded",IF(G57&gt;0,"Not applicable","No lines")))))</f>
        <v>No lines</v>
      </c>
      <c r="I57" s="0" t="str">
        <f aca="false">Audit!$G$45&amp;""</f>
        <v/>
      </c>
      <c r="J57" s="0" t="str">
        <f aca="false">IF(I57&lt;&gt;"",I57,IF(H57="No lines",IF(B57="Yes","Not addressed","-"),H57))</f>
        <v>-</v>
      </c>
      <c r="K57" s="0" t="n">
        <f aca="false">SUMIFS($N$2:$N$51,$D$2:$D$51,A57,$F$2:$F$51,"Firm")</f>
        <v>0</v>
      </c>
      <c r="L57" s="0" t="str">
        <f aca="false">IFERROR(INDEX(Lists!$J$4:$P$14,MATCH(Audit!$C$8,Lists!$I$4:$I$14,0),3),"")</f>
        <v/>
      </c>
      <c r="M57" s="0" t="n">
        <f aca="false">COUNTIFS($D$2:$D$51,A57,$F$2:$F$51,"Firm",$O$2:$O$51,1)</f>
        <v>0</v>
      </c>
      <c r="N57" s="0" t="str">
        <f aca="false">IF(AND(Audit!$J$7="Buyer",L57="Seller"),"seller",IF(AND(Audit!$J$7="Seller",L57="Buyer"),"buyer",""))</f>
        <v/>
      </c>
    </row>
    <row r="58" customFormat="false" ht="15" hidden="false" customHeight="false" outlineLevel="0" collapsed="false">
      <c r="A58" s="0" t="s">
        <v>123</v>
      </c>
      <c r="B58" s="0" t="str">
        <f aca="false">Audit!$C$46&amp;""</f>
        <v/>
      </c>
      <c r="C58" s="0" t="n">
        <f aca="false">SUMIFS($O$2:$O$51,$D$2:$D$51,A58)</f>
        <v>0</v>
      </c>
      <c r="D58" s="0" t="n">
        <f aca="false">SUMIFS($W$2:$W$51,$D$2:$D$51,A58)</f>
        <v>0</v>
      </c>
      <c r="E58" s="0" t="n">
        <f aca="false">COUNTIFS($D$2:$D$51,A58,$F$2:$F$51,"Included")</f>
        <v>0</v>
      </c>
      <c r="F58" s="0" t="n">
        <f aca="false">COUNTIFS($D$2:$D$51,A58,$F$2:$F$51,"Excluded")</f>
        <v>0</v>
      </c>
      <c r="G58" s="0" t="n">
        <f aca="false">COUNTIFS($D$2:$D$51,A58,$F$2:$F$51,"Not applicable")</f>
        <v>0</v>
      </c>
      <c r="H58" s="0" t="str">
        <f aca="false">IF(C58&gt;0,"Priced",IF(D58&gt;0,"Unpriced",IF(E58&gt;0,"Included",IF(F58&gt;0,"Excluded",IF(G58&gt;0,"Not applicable","No lines")))))</f>
        <v>No lines</v>
      </c>
      <c r="I58" s="0" t="str">
        <f aca="false">Audit!$G$46&amp;""</f>
        <v/>
      </c>
      <c r="J58" s="0" t="str">
        <f aca="false">IF(I58&lt;&gt;"",I58,IF(H58="No lines",IF(B58="Yes","Not addressed","-"),H58))</f>
        <v>-</v>
      </c>
      <c r="K58" s="0" t="n">
        <f aca="false">SUMIFS($N$2:$N$51,$D$2:$D$51,A58,$F$2:$F$51,"Firm")</f>
        <v>0</v>
      </c>
      <c r="L58" s="0" t="str">
        <f aca="false">IFERROR(INDEX(Lists!$J$4:$P$14,MATCH(Audit!$C$8,Lists!$I$4:$I$14,0),4),"")</f>
        <v/>
      </c>
      <c r="M58" s="0" t="n">
        <f aca="false">COUNTIFS($D$2:$D$51,A58,$F$2:$F$51,"Firm",$O$2:$O$51,1)</f>
        <v>0</v>
      </c>
      <c r="N58" s="0" t="str">
        <f aca="false">IF(AND(Audit!$J$7="Buyer",L58="Seller"),"seller",IF(AND(Audit!$J$7="Seller",L58="Buyer"),"buyer",""))</f>
        <v/>
      </c>
    </row>
    <row r="59" customFormat="false" ht="15" hidden="false" customHeight="false" outlineLevel="0" collapsed="false">
      <c r="A59" s="0" t="s">
        <v>124</v>
      </c>
      <c r="B59" s="0" t="str">
        <f aca="false">Audit!$C$47&amp;""</f>
        <v/>
      </c>
      <c r="C59" s="0" t="n">
        <f aca="false">SUMIFS($O$2:$O$51,$D$2:$D$51,A59)</f>
        <v>0</v>
      </c>
      <c r="D59" s="0" t="n">
        <f aca="false">SUMIFS($W$2:$W$51,$D$2:$D$51,A59)</f>
        <v>0</v>
      </c>
      <c r="E59" s="0" t="n">
        <f aca="false">COUNTIFS($D$2:$D$51,A59,$F$2:$F$51,"Included")</f>
        <v>0</v>
      </c>
      <c r="F59" s="0" t="n">
        <f aca="false">COUNTIFS($D$2:$D$51,A59,$F$2:$F$51,"Excluded")</f>
        <v>0</v>
      </c>
      <c r="G59" s="0" t="n">
        <f aca="false">COUNTIFS($D$2:$D$51,A59,$F$2:$F$51,"Not applicable")</f>
        <v>0</v>
      </c>
      <c r="H59" s="0" t="str">
        <f aca="false">IF(C59&gt;0,"Priced",IF(D59&gt;0,"Unpriced",IF(E59&gt;0,"Included",IF(F59&gt;0,"Excluded",IF(G59&gt;0,"Not applicable","No lines")))))</f>
        <v>No lines</v>
      </c>
      <c r="I59" s="0" t="str">
        <f aca="false">Audit!$G$47&amp;""</f>
        <v/>
      </c>
      <c r="J59" s="0" t="str">
        <f aca="false">IF(I59&lt;&gt;"",I59,IF(H59="No lines",IF(B59="Yes","Not addressed","-"),H59))</f>
        <v>-</v>
      </c>
      <c r="K59" s="0" t="n">
        <f aca="false">SUMIFS($N$2:$N$51,$D$2:$D$51,A59,$F$2:$F$51,"Firm")</f>
        <v>0</v>
      </c>
      <c r="L59" s="0" t="str">
        <f aca="false">IFERROR(INDEX(Lists!$J$4:$P$14,MATCH(Audit!$C$8,Lists!$I$4:$I$14,0),5),"")</f>
        <v/>
      </c>
      <c r="M59" s="0" t="n">
        <f aca="false">COUNTIFS($D$2:$D$51,A59,$F$2:$F$51,"Firm",$O$2:$O$51,1)</f>
        <v>0</v>
      </c>
      <c r="N59" s="0" t="str">
        <f aca="false">IF(AND(Audit!$J$7="Buyer",L59="Seller"),"seller",IF(AND(Audit!$J$7="Seller",L59="Buyer"),"buyer",""))</f>
        <v/>
      </c>
    </row>
    <row r="60" customFormat="false" ht="15" hidden="false" customHeight="false" outlineLevel="0" collapsed="false">
      <c r="A60" s="0" t="s">
        <v>125</v>
      </c>
      <c r="B60" s="0" t="str">
        <f aca="false">Audit!$C$48&amp;""</f>
        <v/>
      </c>
      <c r="C60" s="0" t="n">
        <f aca="false">SUMIFS($O$2:$O$51,$D$2:$D$51,A60)</f>
        <v>0</v>
      </c>
      <c r="D60" s="0" t="n">
        <f aca="false">SUMIFS($W$2:$W$51,$D$2:$D$51,A60)</f>
        <v>0</v>
      </c>
      <c r="E60" s="0" t="n">
        <f aca="false">COUNTIFS($D$2:$D$51,A60,$F$2:$F$51,"Included")</f>
        <v>0</v>
      </c>
      <c r="F60" s="0" t="n">
        <f aca="false">COUNTIFS($D$2:$D$51,A60,$F$2:$F$51,"Excluded")</f>
        <v>0</v>
      </c>
      <c r="G60" s="0" t="n">
        <f aca="false">COUNTIFS($D$2:$D$51,A60,$F$2:$F$51,"Not applicable")</f>
        <v>0</v>
      </c>
      <c r="H60" s="0" t="str">
        <f aca="false">IF(C60&gt;0,"Priced",IF(D60&gt;0,"Unpriced",IF(E60&gt;0,"Included",IF(F60&gt;0,"Excluded",IF(G60&gt;0,"Not applicable","No lines")))))</f>
        <v>No lines</v>
      </c>
      <c r="I60" s="0" t="str">
        <f aca="false">Audit!$G$48&amp;""</f>
        <v/>
      </c>
      <c r="J60" s="0" t="str">
        <f aca="false">IF(I60&lt;&gt;"",I60,IF(H60="No lines",IF(B60="Yes","Not addressed","-"),H60))</f>
        <v>-</v>
      </c>
      <c r="K60" s="0" t="n">
        <f aca="false">SUMIFS($N$2:$N$51,$D$2:$D$51,A60,$F$2:$F$51,"Firm")</f>
        <v>0</v>
      </c>
      <c r="L60" s="0" t="str">
        <f aca="false">IFERROR(INDEX(Lists!$J$4:$P$14,MATCH(Audit!$C$8,Lists!$I$4:$I$14,0),6),"")</f>
        <v/>
      </c>
      <c r="M60" s="0" t="n">
        <f aca="false">COUNTIFS($D$2:$D$51,A60,$F$2:$F$51,"Firm",$O$2:$O$51,1)</f>
        <v>0</v>
      </c>
      <c r="N60" s="0" t="str">
        <f aca="false">IF(AND(Audit!$J$7="Buyer",L60="Seller"),"seller",IF(AND(Audit!$J$7="Seller",L60="Buyer"),"buyer",""))</f>
        <v/>
      </c>
    </row>
    <row r="61" customFormat="false" ht="15" hidden="false" customHeight="false" outlineLevel="0" collapsed="false">
      <c r="A61" s="0" t="s">
        <v>126</v>
      </c>
      <c r="B61" s="0" t="str">
        <f aca="false">Audit!$C$49&amp;""</f>
        <v/>
      </c>
      <c r="C61" s="0" t="n">
        <f aca="false">SUMIFS($O$2:$O$51,$D$2:$D$51,A61)</f>
        <v>0</v>
      </c>
      <c r="D61" s="0" t="n">
        <f aca="false">SUMIFS($W$2:$W$51,$D$2:$D$51,A61)</f>
        <v>0</v>
      </c>
      <c r="E61" s="0" t="n">
        <f aca="false">COUNTIFS($D$2:$D$51,A61,$F$2:$F$51,"Included")</f>
        <v>0</v>
      </c>
      <c r="F61" s="0" t="n">
        <f aca="false">COUNTIFS($D$2:$D$51,A61,$F$2:$F$51,"Excluded")</f>
        <v>0</v>
      </c>
      <c r="G61" s="0" t="n">
        <f aca="false">COUNTIFS($D$2:$D$51,A61,$F$2:$F$51,"Not applicable")</f>
        <v>0</v>
      </c>
      <c r="H61" s="0" t="str">
        <f aca="false">IF(C61&gt;0,"Priced",IF(D61&gt;0,"Unpriced",IF(E61&gt;0,"Included",IF(F61&gt;0,"Excluded",IF(G61&gt;0,"Not applicable","No lines")))))</f>
        <v>No lines</v>
      </c>
      <c r="I61" s="0" t="str">
        <f aca="false">Audit!$G$49&amp;""</f>
        <v/>
      </c>
      <c r="J61" s="0" t="str">
        <f aca="false">IF(I61&lt;&gt;"",I61,IF(H61="No lines",IF(B61="Yes","Not addressed","-"),H61))</f>
        <v>-</v>
      </c>
      <c r="K61" s="0" t="n">
        <f aca="false">SUMIFS($N$2:$N$51,$D$2:$D$51,A61,$F$2:$F$51,"Firm")</f>
        <v>0</v>
      </c>
      <c r="L61" s="0" t="str">
        <f aca="false">IFERROR(INDEX(Lists!$J$4:$P$14,MATCH(Audit!$C$8,Lists!$I$4:$I$14,0),7),"")</f>
        <v/>
      </c>
      <c r="M61" s="0" t="n">
        <f aca="false">COUNTIFS($D$2:$D$51,A61,$F$2:$F$51,"Firm",$O$2:$O$51,1)</f>
        <v>0</v>
      </c>
      <c r="N61" s="0" t="str">
        <f aca="false">IF(AND(Audit!$J$7="Buyer",L61="Seller"),"seller",IF(AND(Audit!$J$7="Seller",L61="Buyer"),"buyer",""))</f>
        <v/>
      </c>
    </row>
    <row r="69" customFormat="false" ht="15" hidden="false" customHeight="false" outlineLevel="0" collapsed="false">
      <c r="A69" s="0" t="s">
        <v>335</v>
      </c>
      <c r="B69" s="0" t="s">
        <v>336</v>
      </c>
      <c r="C69" s="0" t="s">
        <v>166</v>
      </c>
      <c r="D69" s="0" t="s">
        <v>337</v>
      </c>
      <c r="E69" s="0" t="s">
        <v>167</v>
      </c>
      <c r="F69" s="0" t="s">
        <v>168</v>
      </c>
      <c r="G69" s="0" t="s">
        <v>169</v>
      </c>
      <c r="H69" s="0" t="s">
        <v>338</v>
      </c>
      <c r="I69" s="0" t="s">
        <v>339</v>
      </c>
      <c r="J69" s="0" t="s">
        <v>340</v>
      </c>
      <c r="K69" s="0" t="s">
        <v>341</v>
      </c>
    </row>
    <row r="70" customFormat="false" ht="15" hidden="false" customHeight="false" outlineLevel="0" collapsed="false">
      <c r="A70" s="0" t="s">
        <v>342</v>
      </c>
      <c r="B70" s="0" t="n">
        <f aca="false">IFERROR(IF(Audit!$C$18="No",1,0),0)</f>
        <v>0</v>
      </c>
      <c r="C70" s="0" t="str">
        <f aca="false">"Question"</f>
        <v>Question</v>
      </c>
      <c r="D70" s="0" t="n">
        <f aca="false">IF(C70="Error",1,IF(C70="Question",2,3))</f>
        <v>2</v>
      </c>
      <c r="E70" s="0" t="str">
        <f aca="false">IF(B70=1,"Commercial invoice","")</f>
        <v/>
      </c>
      <c r="F70" s="0" t="str">
        <f aca="false">IF(B70=1,"Not provided","")</f>
        <v/>
      </c>
      <c r="G70" s="0" t="str">
        <f aca="false">IF(B70=1,"The quotation cannot be checked against the shipment without the commercial invoice.","")</f>
        <v/>
      </c>
      <c r="H70" s="0" t="str">
        <f aca="false">IF(B70=1,"Obtain the commercial invoice from the client.","")</f>
        <v/>
      </c>
      <c r="I70" s="0" t="str">
        <f aca="false">IF(B70=1,"","")</f>
        <v/>
      </c>
      <c r="J70" s="0" t="str">
        <f aca="false">IF(B70=1,D70*1000+ROW(),"")</f>
        <v/>
      </c>
      <c r="K70" s="0" t="str">
        <f aca="false">IF(AND(B70=1,C70="Question"),ROW(),"")</f>
        <v/>
      </c>
    </row>
    <row r="71" customFormat="false" ht="15" hidden="false" customHeight="false" outlineLevel="0" collapsed="false">
      <c r="A71" s="0" t="s">
        <v>343</v>
      </c>
      <c r="B71" s="0" t="n">
        <f aca="false">IFERROR(IF(Audit!$J$18="No",1,0),0)</f>
        <v>0</v>
      </c>
      <c r="C71" s="0" t="str">
        <f aca="false">"Question"</f>
        <v>Question</v>
      </c>
      <c r="D71" s="0" t="n">
        <f aca="false">IF(C71="Error",1,IF(C71="Question",2,3))</f>
        <v>2</v>
      </c>
      <c r="E71" s="0" t="str">
        <f aca="false">IF(B71=1,"Packing list","")</f>
        <v/>
      </c>
      <c r="F71" s="0" t="str">
        <f aca="false">IF(B71=1,"Not provided","")</f>
        <v/>
      </c>
      <c r="G71" s="0" t="str">
        <f aca="false">IF(B71=1,"Weights, volumes and packages cannot be checked without the packing list.","")</f>
        <v/>
      </c>
      <c r="H71" s="0" t="str">
        <f aca="false">IF(B71=1,"Obtain the packing list from the client.","")</f>
        <v/>
      </c>
      <c r="I71" s="0" t="str">
        <f aca="false">IF(B71=1,"","")</f>
        <v/>
      </c>
      <c r="J71" s="0" t="str">
        <f aca="false">IF(B71=1,D71*1000+ROW(),"")</f>
        <v/>
      </c>
      <c r="K71" s="0" t="str">
        <f aca="false">IF(AND(B71=1,C71="Question"),ROW(),"")</f>
        <v/>
      </c>
    </row>
    <row r="72" customFormat="false" ht="15" hidden="false" customHeight="false" outlineLevel="0" collapsed="false">
      <c r="A72" s="0" t="s">
        <v>344</v>
      </c>
      <c r="B72" s="0" t="n">
        <f aca="false">IFERROR(IF(Audit!$J$19="No",1,0),0)</f>
        <v>0</v>
      </c>
      <c r="C72" s="0" t="str">
        <f aca="false">"Question"</f>
        <v>Question</v>
      </c>
      <c r="D72" s="0" t="n">
        <f aca="false">IF(C72="Error",1,IF(C72="Question",2,3))</f>
        <v>2</v>
      </c>
      <c r="E72" s="0" t="str">
        <f aca="false">IF(B72=1,"Whole quotation","")</f>
        <v/>
      </c>
      <c r="F72" s="0" t="str">
        <f aca="false">IF(B72=1,"Not itemised","")</f>
        <v/>
      </c>
      <c r="G72" s="0" t="str">
        <f aca="false">IF(B72=1,"A lump-sum quotation cannot be audited charge by charge.","")</f>
        <v/>
      </c>
      <c r="H72" s="0" t="str">
        <f aca="false">IF(B72=1,"Ask the forwarder for a line-by-line breakdown with units and quantities.","")</f>
        <v/>
      </c>
      <c r="I72" s="0" t="str">
        <f aca="false">IF(B72=1,"","")</f>
        <v/>
      </c>
      <c r="J72" s="0" t="str">
        <f aca="false">IF(B72=1,D72*1000+ROW(),"")</f>
        <v/>
      </c>
      <c r="K72" s="0" t="str">
        <f aca="false">IF(AND(B72=1,C72="Question"),ROW(),"")</f>
        <v/>
      </c>
    </row>
    <row r="73" customFormat="false" ht="15" hidden="false" customHeight="false" outlineLevel="0" collapsed="false">
      <c r="A73" s="0" t="s">
        <v>345</v>
      </c>
      <c r="B73" s="0" t="n">
        <f aca="false">IFERROR(IF(AND($AF$7&gt;0,$AF$8=0),1,0),0)</f>
        <v>0</v>
      </c>
      <c r="C73" s="0" t="str">
        <f aca="false">"Question"</f>
        <v>Question</v>
      </c>
      <c r="D73" s="0" t="n">
        <f aca="false">IF(C73="Error",1,IF(C73="Question",2,3))</f>
        <v>2</v>
      </c>
      <c r="E73" s="0" t="str">
        <f aca="false">IF(B73=1,"Charge lines","")</f>
        <v/>
      </c>
      <c r="F73" s="0" t="str">
        <f aca="false">IF(B73=1,"No line has a usable rate","")</f>
        <v/>
      </c>
      <c r="G73" s="0" t="str">
        <f aca="false">IF(B73=1,"None of the entered lines can be calculated.","")</f>
        <v/>
      </c>
      <c r="H73" s="0" t="str">
        <f aca="false">IF(B73=1,"Check that rates, bases and statuses are entered; ask the forwarder for unit rates.","")</f>
        <v/>
      </c>
      <c r="I73" s="0" t="str">
        <f aca="false">IF(B73=1,"","")</f>
        <v/>
      </c>
      <c r="J73" s="0" t="str">
        <f aca="false">IF(B73=1,D73*1000+ROW(),"")</f>
        <v/>
      </c>
      <c r="K73" s="0" t="str">
        <f aca="false">IF(AND(B73=1,C73="Question"),ROW(),"")</f>
        <v/>
      </c>
    </row>
    <row r="74" customFormat="false" ht="15" hidden="false" customHeight="false" outlineLevel="0" collapsed="false">
      <c r="A74" s="0" t="s">
        <v>346</v>
      </c>
      <c r="B74" s="0" t="n">
        <f aca="false">IFERROR(IF(AND($AF$34=0,Audit!$J$24=""),1,0),0)</f>
        <v>0</v>
      </c>
      <c r="C74" s="0" t="str">
        <f aca="false">"Question"</f>
        <v>Question</v>
      </c>
      <c r="D74" s="0" t="n">
        <f aca="false">IF(C74="Error",1,IF(C74="Question",2,3))</f>
        <v>2</v>
      </c>
      <c r="E74" s="0" t="str">
        <f aca="false">IF(B74=1,"Freight validity","")</f>
        <v/>
      </c>
      <c r="F74" s="0" t="str">
        <f aca="false">IF(B74=1,"Validity date not stated","")</f>
        <v/>
      </c>
      <c r="G74" s="0" t="str">
        <f aca="false">IF(B74=1,"Without a validity date the client cannot tell whether the rates still apply.","")</f>
        <v/>
      </c>
      <c r="H74" s="0" t="str">
        <f aca="false">IF(B74=1,"Ask the forwarder for the validity date of all rates, including local charges.","")</f>
        <v/>
      </c>
      <c r="I74" s="0" t="str">
        <f aca="false">IF(B74=1,"","")</f>
        <v/>
      </c>
      <c r="J74" s="0" t="str">
        <f aca="false">IF(B74=1,D74*1000+ROW(),"")</f>
        <v/>
      </c>
      <c r="K74" s="0" t="str">
        <f aca="false">IF(AND(B74=1,C74="Question"),ROW(),"")</f>
        <v/>
      </c>
    </row>
    <row r="75" customFormat="false" ht="15" hidden="false" customHeight="false" outlineLevel="0" collapsed="false">
      <c r="A75" s="0" t="s">
        <v>347</v>
      </c>
      <c r="B75" s="0" t="n">
        <f aca="false">IFERROR(IF(AND(ISNUMBER(Audit!$J$24),OR(AND(ISNUMBER(Audit!$J$6),Audit!$J$24&lt;Audit!$J$6),AND(ISNUMBER(Audit!$C$11),Audit!$J$24&lt;Audit!$C$11))),1,0),0)</f>
        <v>0</v>
      </c>
      <c r="C75" s="0" t="str">
        <f aca="false">"Question"</f>
        <v>Question</v>
      </c>
      <c r="D75" s="0" t="n">
        <f aca="false">IF(C75="Error",1,IF(C75="Question",2,3))</f>
        <v>2</v>
      </c>
      <c r="E75" s="0" t="str">
        <f aca="false">IF(B75=1,"Freight validity","")</f>
        <v/>
      </c>
      <c r="F75" s="0" t="str">
        <f aca="false">IF(B75=1,"Freight rates expired / expire on "&amp;TEXT(Audit!$J$24,"d mmm yyyy"),"")</f>
        <v/>
      </c>
      <c r="G75" s="0" t="str">
        <f aca="false">IF(B75=1,"The rates are no longer valid for this shipment date.","")</f>
        <v/>
      </c>
      <c r="H75" s="0" t="str">
        <f aca="false">IF(B75=1,"Request revalidated rates before the client proceeds.","")</f>
        <v/>
      </c>
      <c r="I75" s="0" t="str">
        <f aca="false">IF(B75=1,"","")</f>
        <v/>
      </c>
      <c r="J75" s="0" t="str">
        <f aca="false">IF(B75=1,D75*1000+ROW(),"")</f>
        <v/>
      </c>
      <c r="K75" s="0" t="str">
        <f aca="false">IF(AND(B75=1,C75="Question"),ROW(),"")</f>
        <v/>
      </c>
    </row>
    <row r="76" customFormat="false" ht="15" hidden="false" customHeight="false" outlineLevel="0" collapsed="false">
      <c r="A76" s="0" t="s">
        <v>348</v>
      </c>
      <c r="B76" s="0" t="n">
        <f aca="false">IFERROR(IF(IF(AND(ISNUMBER(Audit!$J$24),ISNUMBER(Audit!$J$6)),AND(Audit!$J$24&gt;=Audit!$J$6,Audit!$J$24-Audit!$J$6&lt;=Lists!$B$42,NOT(AND(ISNUMBER(Audit!$C$11),Audit!$J$24&lt;Audit!$C$11))),FALSE()),1,0),0)</f>
        <v>0</v>
      </c>
      <c r="C76" s="0" t="str">
        <f aca="false">"Risk"</f>
        <v>Risk</v>
      </c>
      <c r="D76" s="0" t="n">
        <f aca="false">IF(C76="Error",1,IF(C76="Question",2,3))</f>
        <v>3</v>
      </c>
      <c r="E76" s="0" t="str">
        <f aca="false">IF(B76=1,"Freight validity","")</f>
        <v/>
      </c>
      <c r="F76" s="0" t="str">
        <f aca="false">IF(B76=1,"Freight rates expire on "&amp;TEXT(Audit!$J$24,"d mmm yyyy"),"")</f>
        <v/>
      </c>
      <c r="G76" s="0" t="str">
        <f aca="false">IF(B76=1,"Only "&amp;(Audit!$J$24-Audit!$J$6)&amp;" day(s) after the audit date.","")</f>
        <v/>
      </c>
      <c r="H76" s="0" t="str">
        <f aca="false">IF(B76=1,"Book before expiry or ask the forwarder to extend validity.","")</f>
        <v/>
      </c>
      <c r="I76" s="0" t="str">
        <f aca="false">IF(B76=1,"","")</f>
        <v/>
      </c>
      <c r="J76" s="0" t="str">
        <f aca="false">IF(B76=1,D76*1000+ROW(),"")</f>
        <v/>
      </c>
      <c r="K76" s="0" t="str">
        <f aca="false">IF(AND(B76=1,C76="Question"),ROW(),"")</f>
        <v/>
      </c>
    </row>
    <row r="77" customFormat="false" ht="15" hidden="false" customHeight="false" outlineLevel="0" collapsed="false">
      <c r="A77" s="0" t="s">
        <v>349</v>
      </c>
      <c r="B77" s="0" t="n">
        <f aca="false">IFERROR(IF(AND($AF$34=0,Audit!$C$28=""),1,0),0)</f>
        <v>0</v>
      </c>
      <c r="C77" s="0" t="str">
        <f aca="false">"Question"</f>
        <v>Question</v>
      </c>
      <c r="D77" s="0" t="n">
        <f aca="false">IF(C77="Error",1,IF(C77="Question",2,3))</f>
        <v>2</v>
      </c>
      <c r="E77" s="0" t="str">
        <f aca="false">IF(B77=1,"Transit time","")</f>
        <v/>
      </c>
      <c r="F77" s="0" t="str">
        <f aca="false">IF(B77=1,"Not stated","")</f>
        <v/>
      </c>
      <c r="G77" s="0" t="str">
        <f aca="false">IF(B77=1,"The client cannot plan delivery without a transit time.","")</f>
        <v/>
      </c>
      <c r="H77" s="0" t="str">
        <f aca="false">IF(B77=1,"Ask the forwarder for the transit time and routing.","")</f>
        <v/>
      </c>
      <c r="I77" s="0" t="str">
        <f aca="false">IF(B77=1,"","")</f>
        <v/>
      </c>
      <c r="J77" s="0" t="str">
        <f aca="false">IF(B77=1,D77*1000+ROW(),"")</f>
        <v/>
      </c>
      <c r="K77" s="0" t="str">
        <f aca="false">IF(AND(B77=1,C77="Question"),ROW(),"")</f>
        <v/>
      </c>
    </row>
    <row r="78" customFormat="false" ht="15" hidden="false" customHeight="false" outlineLevel="0" collapsed="false">
      <c r="A78" s="0" t="s">
        <v>350</v>
      </c>
      <c r="B78" s="0" t="n">
        <f aca="false">IFERROR(IF(AND(Audit!$J$25="Sea FCL",Audit!$J$28=""),1,0),0)</f>
        <v>0</v>
      </c>
      <c r="C78" s="0" t="str">
        <f aca="false">"Question"</f>
        <v>Question</v>
      </c>
      <c r="D78" s="0" t="n">
        <f aca="false">IF(C78="Error",1,IF(C78="Question",2,3))</f>
        <v>2</v>
      </c>
      <c r="E78" s="0" t="str">
        <f aca="false">IF(B78=1,"Demurrage / detention","")</f>
        <v/>
      </c>
      <c r="F78" s="0" t="str">
        <f aca="false">IF(B78=1,"Free time not stated","")</f>
        <v/>
      </c>
      <c r="G78" s="0" t="str">
        <f aca="false">IF(B78=1,"Without free days, container demurrage and detention costs cannot be estimated.","")</f>
        <v/>
      </c>
      <c r="H78" s="0" t="str">
        <f aca="false">IF(B78=1,"Ask the forwarder how many free days apply at destination.","")</f>
        <v/>
      </c>
      <c r="I78" s="0" t="str">
        <f aca="false">IF(B78=1,"","")</f>
        <v/>
      </c>
      <c r="J78" s="0" t="str">
        <f aca="false">IF(B78=1,D78*1000+ROW(),"")</f>
        <v/>
      </c>
      <c r="K78" s="0" t="str">
        <f aca="false">IF(AND(B78=1,C78="Question"),ROW(),"")</f>
        <v/>
      </c>
    </row>
    <row r="79" customFormat="false" ht="15" hidden="false" customHeight="false" outlineLevel="0" collapsed="false">
      <c r="A79" s="0" t="s">
        <v>351</v>
      </c>
      <c r="B79" s="0" t="n">
        <f aca="false">IFERROR(IF(AND(Audit!$J$25="Sea FCL",NOT(ISNUMBER(Audit!$C$26))),1,0),0)</f>
        <v>0</v>
      </c>
      <c r="C79" s="0" t="str">
        <f aca="false">"Question"</f>
        <v>Question</v>
      </c>
      <c r="D79" s="0" t="n">
        <f aca="false">IF(C79="Error",1,IF(C79="Question",2,3))</f>
        <v>2</v>
      </c>
      <c r="E79" s="0" t="str">
        <f aca="false">IF(B79=1,"Containers","")</f>
        <v/>
      </c>
      <c r="F79" s="0" t="str">
        <f aca="false">IF(B79=1,"Container quantity not entered","")</f>
        <v/>
      </c>
      <c r="G79" s="0" t="str">
        <f aca="false">IF(B79=1,"Per-container charges assume 1 container until the quantity is entered.","")</f>
        <v/>
      </c>
      <c r="H79" s="0" t="str">
        <f aca="false">IF(B79=1,"Enter the quoted container quantity and type.","")</f>
        <v/>
      </c>
      <c r="I79" s="0" t="str">
        <f aca="false">IF(B79=1,"","")</f>
        <v/>
      </c>
      <c r="J79" s="0" t="str">
        <f aca="false">IF(B79=1,D79*1000+ROW(),"")</f>
        <v/>
      </c>
      <c r="K79" s="0" t="str">
        <f aca="false">IF(AND(B79=1,C79="Question"),ROW(),"")</f>
        <v/>
      </c>
    </row>
    <row r="80" customFormat="false" ht="15" hidden="false" customHeight="false" outlineLevel="0" collapsed="false">
      <c r="A80" s="0" t="s">
        <v>352</v>
      </c>
      <c r="B80" s="0" t="n">
        <f aca="false">IFERROR(IF(AND(Audit!$J$25="Sea FCL",Audit!$C$29&lt;&gt;"Yes"),1,0),0)</f>
        <v>0</v>
      </c>
      <c r="C80" s="0" t="str">
        <f aca="false">"Question"</f>
        <v>Question</v>
      </c>
      <c r="D80" s="0" t="n">
        <f aca="false">IF(C80="Error",1,IF(C80="Question",2,3))</f>
        <v>2</v>
      </c>
      <c r="E80" s="0" t="str">
        <f aca="false">IF(B80=1,"Container "&amp;Audit!$C$26&amp;" x "&amp;Audit!$J$26,"")</f>
        <v/>
      </c>
      <c r="F80" s="0" t="str">
        <f aca="false">IF(B80=1,"Load plan not confirmed","")</f>
        <v/>
      </c>
      <c r="G80" s="0" t="str">
        <f aca="false">IF(B80=1,"Cargo: "&amp;Audit!$C$14&amp;" cartons, "&amp;Audit!$J$14&amp;" pallets"&amp;IF(Audit!$C$16&lt;&gt;"","; "&amp;Audit!$C$16,"")&amp;"; stackable: "&amp;IF(Audit!$J$16="","not stated",Audit!$J$16)&amp;". Fit cannot be decided from CBM alone.","")</f>
        <v/>
      </c>
      <c r="H80" s="0" t="str">
        <f aca="false">IF(B80=1,"Ask the forwarder to confirm the load plan; if a different container is needed, request a revised quotation.","")</f>
        <v/>
      </c>
      <c r="I80" s="0" t="str">
        <f aca="false">IF(B80=1,"","")</f>
        <v/>
      </c>
      <c r="J80" s="0" t="str">
        <f aca="false">IF(B80=1,D80*1000+ROW(),"")</f>
        <v/>
      </c>
      <c r="K80" s="0" t="str">
        <f aca="false">IF(AND(B80=1,C80="Question"),ROW(),"")</f>
        <v/>
      </c>
    </row>
    <row r="81" customFormat="false" ht="15" hidden="false" customHeight="false" outlineLevel="0" collapsed="false">
      <c r="A81" s="0" t="s">
        <v>353</v>
      </c>
      <c r="B81" s="0" t="n">
        <f aca="false">IFERROR(IF(OR(Audit!$J$29="No",Audit!$J$29="Partly"),1,0),0)</f>
        <v>0</v>
      </c>
      <c r="C81" s="0" t="str">
        <f aca="false">"Question"</f>
        <v>Question</v>
      </c>
      <c r="D81" s="0" t="n">
        <f aca="false">IF(C81="Error",1,IF(C81="Question",2,3))</f>
        <v>2</v>
      </c>
      <c r="E81" s="0" t="str">
        <f aca="false">IF(B81=1,"Route","")</f>
        <v/>
      </c>
      <c r="F81" s="0" t="str">
        <f aca="false">IF(B81=1,"Quoted route differs from the request","")</f>
        <v/>
      </c>
      <c r="G81" s="0" t="str">
        <f aca="false">IF(B81=1,"Quoted: "&amp;Audit!$J$27&amp;" / request: "&amp;Audit!$C$9&amp;" to "&amp;Audit!$J$9,"")</f>
        <v/>
      </c>
      <c r="H81" s="0" t="str">
        <f aca="false">IF(B81=1,"Ask the forwarder to quote the requested route or explain the change and its cost effect.","")</f>
        <v/>
      </c>
      <c r="I81" s="0" t="str">
        <f aca="false">IF(B81=1,"","")</f>
        <v/>
      </c>
      <c r="J81" s="0" t="str">
        <f aca="false">IF(B81=1,D81*1000+ROW(),"")</f>
        <v/>
      </c>
      <c r="K81" s="0" t="str">
        <f aca="false">IF(AND(B81=1,C81="Question"),ROW(),"")</f>
        <v/>
      </c>
    </row>
    <row r="82" customFormat="false" ht="15" hidden="false" customHeight="false" outlineLevel="0" collapsed="false">
      <c r="A82" s="0" t="s">
        <v>354</v>
      </c>
      <c r="B82" s="0" t="n">
        <f aca="false">IFERROR(IF(Audit!$J$17="Yes",1,0),0)</f>
        <v>0</v>
      </c>
      <c r="C82" s="0" t="str">
        <f aca="false">"Question"</f>
        <v>Question</v>
      </c>
      <c r="D82" s="0" t="n">
        <f aca="false">IF(C82="Error",1,IF(C82="Question",2,3))</f>
        <v>2</v>
      </c>
      <c r="E82" s="0" t="str">
        <f aca="false">IF(B82=1,"Special cargo","")</f>
        <v/>
      </c>
      <c r="F82" s="0" t="str">
        <f aca="false">IF(B82=1,"Special handling may not be covered","")</f>
        <v/>
      </c>
      <c r="G82" s="0" t="str">
        <f aca="false">IF(B82=1,"The shipment is marked as special cargo; standard rates usually exclude it.","")</f>
        <v/>
      </c>
      <c r="H82" s="0" t="str">
        <f aca="false">IF(B82=1,"Ask the forwarder to confirm the quotation covers the special cargo requirements.","")</f>
        <v/>
      </c>
      <c r="I82" s="0" t="str">
        <f aca="false">IF(B82=1,"","")</f>
        <v/>
      </c>
      <c r="J82" s="0" t="str">
        <f aca="false">IF(B82=1,D82*1000+ROW(),"")</f>
        <v/>
      </c>
      <c r="K82" s="0" t="str">
        <f aca="false">IF(AND(B82=1,C82="Question"),ROW(),"")</f>
        <v/>
      </c>
    </row>
    <row r="83" customFormat="false" ht="15" hidden="false" customHeight="false" outlineLevel="0" collapsed="false">
      <c r="A83" s="0" t="s">
        <v>355</v>
      </c>
      <c r="B83" s="0" t="n">
        <f aca="false">IFERROR(IF(OR(Audit!$J$21="No",Audit!$J$21="Unknown"),1,0),0)</f>
        <v>0</v>
      </c>
      <c r="C83" s="0" t="str">
        <f aca="false">"Question"</f>
        <v>Question</v>
      </c>
      <c r="D83" s="0" t="n">
        <f aca="false">IF(C83="Error",1,IF(C83="Question",2,3))</f>
        <v>2</v>
      </c>
      <c r="E83" s="0" t="str">
        <f aca="false">IF(B83=1,"Cargo basis - volume","")</f>
        <v/>
      </c>
      <c r="F83" s="0" t="str">
        <f aca="false">IF(B83=1,"Packing-list volume may not cover all cargo","")</f>
        <v/>
      </c>
      <c r="G83" s="0" t="str">
        <f aca="false">IF(B83=1,"Stated "&amp;TEXT(Audit!$J$15,"#,##0.###")&amp;" CBM; "&amp;IF(Audit!$C$16&lt;&gt;"",Audit!$C$16,"see packing list"),"")</f>
        <v/>
      </c>
      <c r="H83" s="0" t="str">
        <f aca="false">IF(B83=1,"Ask the shipper to confirm the total shipped volume and dimensions; per-CBM charges and the load plan must use the confirmed figure.","")</f>
        <v/>
      </c>
      <c r="I83" s="0" t="str">
        <f aca="false">IF(B83=1,"","")</f>
        <v/>
      </c>
      <c r="J83" s="0" t="str">
        <f aca="false">IF(B83=1,D83*1000+ROW(),"")</f>
        <v/>
      </c>
      <c r="K83" s="0" t="str">
        <f aca="false">IF(AND(B83=1,C83="Question"),ROW(),"")</f>
        <v/>
      </c>
    </row>
    <row r="84" customFormat="false" ht="15" hidden="false" customHeight="false" outlineLevel="0" collapsed="false">
      <c r="A84" s="0" t="s">
        <v>356</v>
      </c>
      <c r="B84" s="0" t="n">
        <f aca="false">IFERROR(IF(AND($C$55+$C$56&gt;0,Audit!$C$33=""),1,0),0)</f>
        <v>0</v>
      </c>
      <c r="C84" s="0" t="str">
        <f aca="false">"Question"</f>
        <v>Question</v>
      </c>
      <c r="D84" s="0" t="n">
        <f aca="false">IF(C84="Error",1,IF(C84="Question",2,3))</f>
        <v>2</v>
      </c>
      <c r="E84" s="0" t="str">
        <f aca="false">IF(B84=1,"Origin charges validity","")</f>
        <v/>
      </c>
      <c r="F84" s="0" t="str">
        <f aca="false">IF(B84=1,"Not Confirmed","")</f>
        <v/>
      </c>
      <c r="G84" s="0" t="str">
        <f aca="false">IF(B84=1,"The quotation does not state how long the origin charges are valid; the freight validity date is not applied to them.","")</f>
        <v/>
      </c>
      <c r="H84" s="0" t="str">
        <f aca="false">IF(B84=1,"Ask the forwarder to confirm the validity of the origin charges.","")</f>
        <v/>
      </c>
      <c r="I84" s="0" t="str">
        <f aca="false">IF(B84=1,"","")</f>
        <v/>
      </c>
      <c r="J84" s="0" t="str">
        <f aca="false">IF(B84=1,D84*1000+ROW(),"")</f>
        <v/>
      </c>
      <c r="K84" s="0" t="str">
        <f aca="false">IF(AND(B84=1,C84="Question"),ROW(),"")</f>
        <v/>
      </c>
    </row>
    <row r="85" customFormat="false" ht="15" hidden="false" customHeight="false" outlineLevel="0" collapsed="false">
      <c r="A85" s="0" t="s">
        <v>357</v>
      </c>
      <c r="B85" s="0" t="n">
        <f aca="false">IFERROR(IF(AND($C$55+$C$56&gt;0,ISNUMBER(Audit!$C$33),OR(AND(ISNUMBER(Audit!$J$6),Audit!$C$33&lt;Audit!$J$6),AND(ISNUMBER(Audit!$C$11),Audit!$C$33&lt;Audit!$C$11))),1,0),0)</f>
        <v>0</v>
      </c>
      <c r="C85" s="0" t="str">
        <f aca="false">"Question"</f>
        <v>Question</v>
      </c>
      <c r="D85" s="0" t="n">
        <f aca="false">IF(C85="Error",1,IF(C85="Question",2,3))</f>
        <v>2</v>
      </c>
      <c r="E85" s="0" t="str">
        <f aca="false">IF(B85=1,"Origin charges validity","")</f>
        <v/>
      </c>
      <c r="F85" s="0" t="str">
        <f aca="false">IF(B85=1,"Expired / expires on "&amp;TEXT(Audit!$C$33,"d mmm yyyy"),"")</f>
        <v/>
      </c>
      <c r="G85" s="0" t="str">
        <f aca="false">IF(B85=1,"The origin charges are no longer valid for this shipment date.","")</f>
        <v/>
      </c>
      <c r="H85" s="0" t="str">
        <f aca="false">IF(B85=1,"Request revalidated charges before the client proceeds.","")</f>
        <v/>
      </c>
      <c r="I85" s="0" t="str">
        <f aca="false">IF(B85=1,"","")</f>
        <v/>
      </c>
      <c r="J85" s="0" t="str">
        <f aca="false">IF(B85=1,D85*1000+ROW(),"")</f>
        <v/>
      </c>
      <c r="K85" s="0" t="str">
        <f aca="false">IF(AND(B85=1,C85="Question"),ROW(),"")</f>
        <v/>
      </c>
    </row>
    <row r="86" customFormat="false" ht="15" hidden="false" customHeight="false" outlineLevel="0" collapsed="false">
      <c r="A86" s="0" t="s">
        <v>358</v>
      </c>
      <c r="B86" s="0" t="n">
        <f aca="false">IFERROR(IF(IF(AND($C$55+$C$56&gt;0,ISNUMBER(Audit!$C$33),ISNUMBER(Audit!$J$6)),AND(Audit!$C$33&gt;=Audit!$J$6,Audit!$C$33-Audit!$J$6&lt;=Lists!$B$42,NOT(AND(ISNUMBER(Audit!$C$11),Audit!$C$33&lt;Audit!$C$11))),FALSE()),1,0),0)</f>
        <v>0</v>
      </c>
      <c r="C86" s="0" t="str">
        <f aca="false">"Risk"</f>
        <v>Risk</v>
      </c>
      <c r="D86" s="0" t="n">
        <f aca="false">IF(C86="Error",1,IF(C86="Question",2,3))</f>
        <v>3</v>
      </c>
      <c r="E86" s="0" t="str">
        <f aca="false">IF(B86=1,"Origin charges validity","")</f>
        <v/>
      </c>
      <c r="F86" s="0" t="str">
        <f aca="false">IF(B86=1,"Expire on "&amp;TEXT(Audit!$C$33,"d mmm yyyy"),"")</f>
        <v/>
      </c>
      <c r="G86" s="0" t="str">
        <f aca="false">IF(B86=1,"Only "&amp;(Audit!$C$33-Audit!$J$6)&amp;" day(s) after the audit date.","")</f>
        <v/>
      </c>
      <c r="H86" s="0" t="str">
        <f aca="false">IF(B86=1,"Book before expiry or ask the forwarder to extend validity.","")</f>
        <v/>
      </c>
      <c r="I86" s="0" t="str">
        <f aca="false">IF(B86=1,"","")</f>
        <v/>
      </c>
      <c r="J86" s="0" t="str">
        <f aca="false">IF(B86=1,D86*1000+ROW(),"")</f>
        <v/>
      </c>
      <c r="K86" s="0" t="str">
        <f aca="false">IF(AND(B86=1,C86="Question"),ROW(),"")</f>
        <v/>
      </c>
    </row>
    <row r="87" customFormat="false" ht="15" hidden="false" customHeight="false" outlineLevel="0" collapsed="false">
      <c r="A87" s="0" t="s">
        <v>359</v>
      </c>
      <c r="B87" s="0" t="n">
        <f aca="false">IFERROR(IF(AND($C$58+$C$59+$C$60&gt;0,Audit!$J$33=""),1,0),0)</f>
        <v>0</v>
      </c>
      <c r="C87" s="0" t="str">
        <f aca="false">"Question"</f>
        <v>Question</v>
      </c>
      <c r="D87" s="0" t="n">
        <f aca="false">IF(C87="Error",1,IF(C87="Question",2,3))</f>
        <v>2</v>
      </c>
      <c r="E87" s="0" t="str">
        <f aca="false">IF(B87=1,"Destination charges validity","")</f>
        <v/>
      </c>
      <c r="F87" s="0" t="str">
        <f aca="false">IF(B87=1,"Not Confirmed","")</f>
        <v/>
      </c>
      <c r="G87" s="0" t="str">
        <f aca="false">IF(B87=1,"The quotation does not state how long the destination charges are valid; the freight validity date is not applied to them.","")</f>
        <v/>
      </c>
      <c r="H87" s="0" t="str">
        <f aca="false">IF(B87=1,"Ask the forwarder to confirm the validity of the destination charges.","")</f>
        <v/>
      </c>
      <c r="I87" s="0" t="str">
        <f aca="false">IF(B87=1,"","")</f>
        <v/>
      </c>
      <c r="J87" s="0" t="str">
        <f aca="false">IF(B87=1,D87*1000+ROW(),"")</f>
        <v/>
      </c>
      <c r="K87" s="0" t="str">
        <f aca="false">IF(AND(B87=1,C87="Question"),ROW(),"")</f>
        <v/>
      </c>
    </row>
    <row r="88" customFormat="false" ht="15" hidden="false" customHeight="false" outlineLevel="0" collapsed="false">
      <c r="A88" s="0" t="s">
        <v>360</v>
      </c>
      <c r="B88" s="0" t="n">
        <f aca="false">IFERROR(IF(AND($C$58+$C$59+$C$60&gt;0,ISNUMBER(Audit!$J$33),OR(AND(ISNUMBER(Audit!$J$6),Audit!$J$33&lt;Audit!$J$6),AND(ISNUMBER(Audit!$C$11),Audit!$J$33&lt;Audit!$C$11))),1,0),0)</f>
        <v>0</v>
      </c>
      <c r="C88" s="0" t="str">
        <f aca="false">"Question"</f>
        <v>Question</v>
      </c>
      <c r="D88" s="0" t="n">
        <f aca="false">IF(C88="Error",1,IF(C88="Question",2,3))</f>
        <v>2</v>
      </c>
      <c r="E88" s="0" t="str">
        <f aca="false">IF(B88=1,"Destination charges validity","")</f>
        <v/>
      </c>
      <c r="F88" s="0" t="str">
        <f aca="false">IF(B88=1,"Expired / expires on "&amp;TEXT(Audit!$J$33,"d mmm yyyy"),"")</f>
        <v/>
      </c>
      <c r="G88" s="0" t="str">
        <f aca="false">IF(B88=1,"The destination charges are no longer valid for this shipment date.","")</f>
        <v/>
      </c>
      <c r="H88" s="0" t="str">
        <f aca="false">IF(B88=1,"Request revalidated charges before the client proceeds.","")</f>
        <v/>
      </c>
      <c r="I88" s="0" t="str">
        <f aca="false">IF(B88=1,"","")</f>
        <v/>
      </c>
      <c r="J88" s="0" t="str">
        <f aca="false">IF(B88=1,D88*1000+ROW(),"")</f>
        <v/>
      </c>
      <c r="K88" s="0" t="str">
        <f aca="false">IF(AND(B88=1,C88="Question"),ROW(),"")</f>
        <v/>
      </c>
    </row>
    <row r="89" customFormat="false" ht="15" hidden="false" customHeight="false" outlineLevel="0" collapsed="false">
      <c r="A89" s="0" t="s">
        <v>361</v>
      </c>
      <c r="B89" s="0" t="n">
        <f aca="false">IFERROR(IF(IF(AND($C$58+$C$59+$C$60&gt;0,ISNUMBER(Audit!$J$33),ISNUMBER(Audit!$J$6)),AND(Audit!$J$33&gt;=Audit!$J$6,Audit!$J$33-Audit!$J$6&lt;=Lists!$B$42,NOT(AND(ISNUMBER(Audit!$C$11),Audit!$J$33&lt;Audit!$C$11))),FALSE()),1,0),0)</f>
        <v>0</v>
      </c>
      <c r="C89" s="0" t="str">
        <f aca="false">"Risk"</f>
        <v>Risk</v>
      </c>
      <c r="D89" s="0" t="n">
        <f aca="false">IF(C89="Error",1,IF(C89="Question",2,3))</f>
        <v>3</v>
      </c>
      <c r="E89" s="0" t="str">
        <f aca="false">IF(B89=1,"Destination charges validity","")</f>
        <v/>
      </c>
      <c r="F89" s="0" t="str">
        <f aca="false">IF(B89=1,"Expire on "&amp;TEXT(Audit!$J$33,"d mmm yyyy"),"")</f>
        <v/>
      </c>
      <c r="G89" s="0" t="str">
        <f aca="false">IF(B89=1,"Only "&amp;(Audit!$J$33-Audit!$J$6)&amp;" day(s) after the audit date.","")</f>
        <v/>
      </c>
      <c r="H89" s="0" t="str">
        <f aca="false">IF(B89=1,"Book before expiry or ask the forwarder to extend validity.","")</f>
        <v/>
      </c>
      <c r="I89" s="0" t="str">
        <f aca="false">IF(B89=1,"","")</f>
        <v/>
      </c>
      <c r="J89" s="0" t="str">
        <f aca="false">IF(B89=1,D89*1000+ROW(),"")</f>
        <v/>
      </c>
      <c r="K89" s="0" t="str">
        <f aca="false">IF(AND(B89=1,C89="Question"),ROW(),"")</f>
        <v/>
      </c>
    </row>
    <row r="90" customFormat="false" ht="15" hidden="false" customHeight="false" outlineLevel="0" collapsed="false">
      <c r="A90" s="0" t="s">
        <v>362</v>
      </c>
      <c r="B90" s="0" t="n">
        <f aca="false">IFERROR(IF(LEFT(Audit!$H$35,5)="ERROR",1,0),0)</f>
        <v>0</v>
      </c>
      <c r="C90" s="0" t="str">
        <f aca="false">"Error"</f>
        <v>Error</v>
      </c>
      <c r="D90" s="0" t="n">
        <f aca="false">IF(C90="Error",1,IF(C90="Question",2,3))</f>
        <v>1</v>
      </c>
      <c r="E90" s="0" t="str">
        <f aca="false">IF(B90=1,"Cargo basis - pieces","")</f>
        <v/>
      </c>
      <c r="F90" s="0" t="str">
        <f aca="false">IF(B90=1,"Quoted pieces do not match the CI/PL","")</f>
        <v/>
      </c>
      <c r="G90" s="0" t="str">
        <f aca="false">IF(B90=1,"Quoted "&amp;Audit!$D$35&amp;" vs CI/PL "&amp;Audit!$C$35,"")</f>
        <v/>
      </c>
      <c r="H90" s="0" t="str">
        <f aca="false">IF(B90=1,"Ask the forwarder to correct the quotation to the documented quantity.","")</f>
        <v/>
      </c>
      <c r="I90" s="0" t="str">
        <f aca="false">IF(B90=1,"","")</f>
        <v/>
      </c>
      <c r="J90" s="0" t="str">
        <f aca="false">IF(B90=1,D90*1000+ROW(),"")</f>
        <v/>
      </c>
      <c r="K90" s="0" t="str">
        <f aca="false">IF(AND(B90=1,C90="Question"),ROW(),"")</f>
        <v/>
      </c>
    </row>
    <row r="91" customFormat="false" ht="15" hidden="false" customHeight="false" outlineLevel="0" collapsed="false">
      <c r="A91" s="0" t="s">
        <v>363</v>
      </c>
      <c r="B91" s="0" t="n">
        <f aca="false">IFERROR(IF(LEFT(Audit!$H$36,5)="ERROR",1,0),0)</f>
        <v>0</v>
      </c>
      <c r="C91" s="0" t="str">
        <f aca="false">"Error"</f>
        <v>Error</v>
      </c>
      <c r="D91" s="0" t="n">
        <f aca="false">IF(C91="Error",1,IF(C91="Question",2,3))</f>
        <v>1</v>
      </c>
      <c r="E91" s="0" t="str">
        <f aca="false">IF(B91=1,"Cargo basis - packages","")</f>
        <v/>
      </c>
      <c r="F91" s="0" t="str">
        <f aca="false">IF(B91=1,"Quoted packages do not match the CI/PL","")</f>
        <v/>
      </c>
      <c r="G91" s="0" t="str">
        <f aca="false">IF(B91=1,"Quoted "&amp;Audit!$D$36&amp;" vs CI/PL "&amp;Audit!$C$36,"")</f>
        <v/>
      </c>
      <c r="H91" s="0" t="str">
        <f aca="false">IF(B91=1,"Ask the forwarder to correct the quotation to the documented cartons or pallets.","")</f>
        <v/>
      </c>
      <c r="I91" s="0" t="str">
        <f aca="false">IF(B91=1,"","")</f>
        <v/>
      </c>
      <c r="J91" s="0" t="str">
        <f aca="false">IF(B91=1,D91*1000+ROW(),"")</f>
        <v/>
      </c>
      <c r="K91" s="0" t="str">
        <f aca="false">IF(AND(B91=1,C91="Question"),ROW(),"")</f>
        <v/>
      </c>
    </row>
    <row r="92" customFormat="false" ht="15" hidden="false" customHeight="false" outlineLevel="0" collapsed="false">
      <c r="A92" s="0" t="s">
        <v>364</v>
      </c>
      <c r="B92" s="0" t="n">
        <f aca="false">IFERROR(IF(AND($AF$34=0,Audit!$J$19&lt;&gt;"No",COUNTBLANK(Audit!$D$35:$D$38)&gt;0),1,0),0)</f>
        <v>0</v>
      </c>
      <c r="C92" s="0" t="str">
        <f aca="false">"Question"</f>
        <v>Question</v>
      </c>
      <c r="D92" s="0" t="n">
        <f aca="false">IF(C92="Error",1,IF(C92="Question",2,3))</f>
        <v>2</v>
      </c>
      <c r="E92" s="0" t="str">
        <f aca="false">IF(B92=1,"Cargo basis","")</f>
        <v/>
      </c>
      <c r="F92" s="0" t="str">
        <f aca="false">IF(B92=1,"Not stated in the quotation","")</f>
        <v/>
      </c>
      <c r="G92" s="0" t="str">
        <f aca="false">IF(B92=1,"The quotation does not state: "&amp;LEFT(IF(Audit!$D$35="","pieces, ","")&amp;IF(Audit!$D$36="","packages, ","")&amp;IF(Audit!$D$37="","weight, ","")&amp;IF(Audit!$D$38="","volume, ",""),LEN(IF(Audit!$D$35="","pieces, ","")&amp;IF(Audit!$D$36="","packages, ","")&amp;IF(Audit!$D$37="","weight, ","")&amp;IF(Audit!$D$38="","volume, ",""))-2)&amp;".","")</f>
        <v/>
      </c>
      <c r="H92" s="0" t="str">
        <f aca="false">IF(B92=1,"Ask the forwarder to confirm the quotation is based on "&amp;Audit!$J$13&amp;" pcs, "&amp;Audit!$C$14&amp;" cartons / "&amp;Audit!$J$14&amp;" pallets, "&amp;TEXT(Audit!$C$15,"#,##0.##")&amp;" kg, "&amp;TEXT(Audit!$J$15,"#,##0.###")&amp;" CBM.","")</f>
        <v/>
      </c>
      <c r="I92" s="0" t="str">
        <f aca="false">IF(B92=1,"","")</f>
        <v/>
      </c>
      <c r="J92" s="0" t="str">
        <f aca="false">IF(B92=1,D92*1000+ROW(),"")</f>
        <v/>
      </c>
      <c r="K92" s="0" t="str">
        <f aca="false">IF(AND(B92=1,C92="Question"),ROW(),"")</f>
        <v/>
      </c>
    </row>
    <row r="93" customFormat="false" ht="15" hidden="false" customHeight="false" outlineLevel="0" collapsed="false">
      <c r="A93" s="0" t="s">
        <v>365</v>
      </c>
      <c r="B93" s="0" t="n">
        <f aca="false">IFERROR(IF(IF(ISNUMBER(Audit!$F$37),AND(Audit!$E$37&lt;&gt;0,Audit!$G$37&lt;&gt;"Yes",ABS(Audit!$F$37)*100&gt;Lists!$B$43),FALSE()),1,0),0)</f>
        <v>0</v>
      </c>
      <c r="C93" s="0" t="str">
        <f aca="false">"Question"</f>
        <v>Question</v>
      </c>
      <c r="D93" s="0" t="n">
        <f aca="false">IF(C93="Error",1,IF(C93="Question",2,3))</f>
        <v>2</v>
      </c>
      <c r="E93" s="0" t="str">
        <f aca="false">IF(B93=1,"Cargo basis - weight","")</f>
        <v/>
      </c>
      <c r="F93" s="0" t="str">
        <f aca="false">IF(B93=1,"Quoted weight differs from the packing list","")</f>
        <v/>
      </c>
      <c r="G93" s="0" t="str">
        <f aca="false">IF(B93=1,"Quoted "&amp;TEXT(Audit!$D$37,"#,##0.##")&amp;" kg vs PL "&amp;TEXT(Audit!$C$37,"#,##0.##")&amp;" kg ("&amp;TEXT(Audit!$F$37,"0.0%")&amp;")","")</f>
        <v/>
      </c>
      <c r="H93" s="0" t="str">
        <f aca="false">IF(B93=1,"Ask the forwarder to re-base the charges on the packing-list weight, or accept the difference with a note.","")</f>
        <v/>
      </c>
      <c r="I93" s="0" t="str">
        <f aca="false">IF(B93=1,"","")</f>
        <v/>
      </c>
      <c r="J93" s="0" t="str">
        <f aca="false">IF(B93=1,D93*1000+ROW(),"")</f>
        <v/>
      </c>
      <c r="K93" s="0" t="str">
        <f aca="false">IF(AND(B93=1,C93="Question"),ROW(),"")</f>
        <v/>
      </c>
    </row>
    <row r="94" customFormat="false" ht="15" hidden="false" customHeight="false" outlineLevel="0" collapsed="false">
      <c r="A94" s="0" t="s">
        <v>326</v>
      </c>
      <c r="B94" s="0" t="n">
        <f aca="false">IFERROR(IF(IF(ISNUMBER(Audit!$F$38),AND(Audit!$E$38&lt;&gt;0,Audit!$G$38&lt;&gt;"Yes",ABS(Audit!$F$38)*100&gt;Lists!$B$43),FALSE()),1,0),0)</f>
        <v>0</v>
      </c>
      <c r="C94" s="0" t="str">
        <f aca="false">"Question"</f>
        <v>Question</v>
      </c>
      <c r="D94" s="0" t="n">
        <f aca="false">IF(C94="Error",1,IF(C94="Question",2,3))</f>
        <v>2</v>
      </c>
      <c r="E94" s="0" t="str">
        <f aca="false">IF(B94=1,"Cargo basis - volume","")</f>
        <v/>
      </c>
      <c r="F94" s="0" t="str">
        <f aca="false">IF(B94=1,"Quoted volume differs from the packing list","")</f>
        <v/>
      </c>
      <c r="G94" s="0" t="str">
        <f aca="false">IF(B94=1,"Quoted "&amp;TEXT(Audit!$D$38,"#,##0.###")&amp;" CBM vs PL "&amp;TEXT(Audit!$C$38,"#,##0.###")&amp;" CBM ("&amp;TEXT(Audit!$F$38,"0.0%")&amp;")","")</f>
        <v/>
      </c>
      <c r="H94" s="0" t="str">
        <f aca="false">IF(B94=1,"Ask the forwarder to re-base volume charges on the packing-list CBM, or accept the difference with a note.","")</f>
        <v/>
      </c>
      <c r="I94" s="0" t="str">
        <f aca="false">IF(B94=1,"","")</f>
        <v/>
      </c>
      <c r="J94" s="0" t="str">
        <f aca="false">IF(B94=1,D94*1000+ROW(),"")</f>
        <v/>
      </c>
      <c r="K94" s="0" t="str">
        <f aca="false">IF(AND(B94=1,C94="Question"),ROW(),"")</f>
        <v/>
      </c>
    </row>
    <row r="95" customFormat="false" ht="15" hidden="false" customHeight="false" outlineLevel="0" collapsed="false">
      <c r="A95" s="0" t="s">
        <v>280</v>
      </c>
      <c r="B95" s="0" t="n">
        <f aca="false">IFERROR(IF($AF$9&gt;0,1,0),0)</f>
        <v>0</v>
      </c>
      <c r="C95" s="0" t="str">
        <f aca="false">"Risk"</f>
        <v>Risk</v>
      </c>
      <c r="D95" s="0" t="n">
        <f aca="false">IF(C95="Error",1,IF(C95="Question",2,3))</f>
        <v>3</v>
      </c>
      <c r="E95" s="0" t="str">
        <f aca="false">IF(B95=1,"Currency","")</f>
        <v/>
      </c>
      <c r="F95" s="0" t="str">
        <f aca="false">IF(B95=1,"Exchange rate missing for "&amp;$AF$9&amp;" line(s)","")</f>
        <v/>
      </c>
      <c r="G95" s="0" t="str">
        <f aca="false">IF(B95=1,"Lines in another currency are left out of the totals until a rate is entered.","")</f>
        <v/>
      </c>
      <c r="H95" s="0" t="str">
        <f aca="false">IF(B95=1,"Enter the exchange rate in Quotation Information (other currency rows).","")</f>
        <v/>
      </c>
      <c r="I95" s="0" t="str">
        <f aca="false">IF(B95=1,"","")</f>
        <v/>
      </c>
      <c r="J95" s="0" t="str">
        <f aca="false">IF(B95=1,D95*1000+ROW(),"")</f>
        <v/>
      </c>
      <c r="K95" s="0" t="str">
        <f aca="false">IF(AND(B95=1,C95="Question"),ROW(),"")</f>
        <v/>
      </c>
    </row>
    <row r="96" customFormat="false" ht="15" hidden="false" customHeight="false" outlineLevel="0" collapsed="false">
      <c r="A96" s="0" t="s">
        <v>366</v>
      </c>
      <c r="B96" s="0" t="n">
        <f aca="false">IFERROR(IF(IF(ISNUMBER(Audit!$J$30),AND(ABS(Audit!$J$30-$AF$28)&gt;Lists!$B$44,ABS(Audit!$J$30-$AF$10)&gt;Lists!$B$44),FALSE()),1,0),0)</f>
        <v>0</v>
      </c>
      <c r="C96" s="0" t="str">
        <f aca="false">"Error"</f>
        <v>Error</v>
      </c>
      <c r="D96" s="0" t="n">
        <f aca="false">IF(C96="Error",1,IF(C96="Question",2,3))</f>
        <v>1</v>
      </c>
      <c r="E96" s="0" t="str">
        <f aca="false">IF(B96=1,"Quotation total","")</f>
        <v/>
      </c>
      <c r="F96" s="0" t="str">
        <f aca="false">IF(B96=1,"Stated total does not equal the sum of the lines","")</f>
        <v/>
      </c>
      <c r="G96" s="0" t="str">
        <f aca="false">IF(B96=1,"Stated "&amp;TEXT(Audit!$J$30,"#,##0.00")&amp;" vs firm lines "&amp;TEXT($AF$28,"#,##0.00")&amp;" before tax / "&amp;TEXT($AF$10,"#,##0.00")&amp;" incl. tax","")</f>
        <v/>
      </c>
      <c r="H96" s="0" t="str">
        <f aca="false">IF(B96=1,"Ask the forwarder to correct the total or show the missing lines.","")</f>
        <v/>
      </c>
      <c r="I96" s="0" t="str">
        <f aca="false">IF(B96=1,"","")</f>
        <v/>
      </c>
      <c r="J96" s="0" t="str">
        <f aca="false">IF(B96=1,D96*1000+ROW(),"")</f>
        <v/>
      </c>
      <c r="K96" s="0" t="str">
        <f aca="false">IF(AND(B96=1,C96="Question"),ROW(),"")</f>
        <v/>
      </c>
    </row>
    <row r="97" customFormat="false" ht="15" hidden="false" customHeight="false" outlineLevel="0" collapsed="false">
      <c r="A97" s="0" t="s">
        <v>367</v>
      </c>
      <c r="B97" s="0" t="n">
        <f aca="false">IFERROR(IF($AF$12&gt;0,1,0),0)</f>
        <v>0</v>
      </c>
      <c r="C97" s="0" t="str">
        <f aca="false">"Risk"</f>
        <v>Risk</v>
      </c>
      <c r="D97" s="0" t="n">
        <f aca="false">IF(C97="Error",1,IF(C97="Question",2,3))</f>
        <v>3</v>
      </c>
      <c r="E97" s="0" t="str">
        <f aca="false">IF(B97=1,"Estimated charges","")</f>
        <v/>
      </c>
      <c r="F97" s="0" t="str">
        <f aca="false">IF(B97=1,$AF$12&amp;" line(s) are estimates only","")</f>
        <v/>
      </c>
      <c r="G97" s="0" t="str">
        <f aca="false">IF(B97=1,"Final amounts may differ from the estimate.","")</f>
        <v/>
      </c>
      <c r="H97" s="0" t="str">
        <f aca="false">IF(B97=1,"Ask the forwarder to confirm firm amounts or the basis of the estimate.","")</f>
        <v/>
      </c>
      <c r="I97" s="0" t="str">
        <f aca="false">IF(B97=1,$AF$11,"")</f>
        <v/>
      </c>
      <c r="J97" s="0" t="str">
        <f aca="false">IF(B97=1,D97*1000+ROW(),"")</f>
        <v/>
      </c>
      <c r="K97" s="0" t="str">
        <f aca="false">IF(AND(B97=1,C97="Question"),ROW(),"")</f>
        <v/>
      </c>
    </row>
    <row r="98" customFormat="false" ht="15" hidden="false" customHeight="false" outlineLevel="0" collapsed="false">
      <c r="A98" s="0" t="s">
        <v>368</v>
      </c>
      <c r="B98" s="0" t="n">
        <f aca="false">IFERROR(IF(AND(Audit!$C$17="Yes",Audit!$J$25&lt;&gt;"Air"),1,0),0)</f>
        <v>0</v>
      </c>
      <c r="C98" s="0" t="str">
        <f aca="false">"Risk"</f>
        <v>Risk</v>
      </c>
      <c r="D98" s="0" t="n">
        <f aca="false">IF(C98="Error",1,IF(C98="Question",2,3))</f>
        <v>3</v>
      </c>
      <c r="E98" s="0" t="str">
        <f aca="false">IF(B98=1,"Fumigation","")</f>
        <v/>
      </c>
      <c r="F98" s="0" t="str">
        <f aca="false">IF(B98=1,IF(COUNTIF($B$2:$B$51,"*fumig*")=0,"Wood packaging: fumigation not quoted","Likely to apply (wood packaging)"),"")</f>
        <v/>
      </c>
      <c r="G98" s="0" t="str">
        <f aca="false">IF(B98=1,"Wood packaging may need fumigation or ISPM 15 treatment at origin.","")</f>
        <v/>
      </c>
      <c r="H98" s="0" t="str">
        <f aca="false">IF(B98=1,IF(COUNTIF($B$2:$B$51,"*fumig*")=0,"Ask whether fumigation is needed and its cost, or confirm the pallets are ISPM 15 treated.","Budget for the fumigation charge, or confirm the pallets are ISPM 15 treated."),"")</f>
        <v/>
      </c>
      <c r="I98" s="0" t="str">
        <f aca="false">IF(B98=1,IF(SUMIFS($N$2:$N$51,$B$2:$B$51,"*fumig*")=0,"",SUMIFS($N$2:$N$51,$B$2:$B$51,"*fumig*")),"")</f>
        <v/>
      </c>
      <c r="J98" s="0" t="str">
        <f aca="false">IF(B98=1,D98*1000+ROW(),"")</f>
        <v/>
      </c>
      <c r="K98" s="0" t="str">
        <f aca="false">IF(AND(B98=1,C98="Question"),ROW(),"")</f>
        <v/>
      </c>
    </row>
    <row r="99" customFormat="false" ht="15" hidden="false" customHeight="false" outlineLevel="0" collapsed="false">
      <c r="A99" s="0" t="s">
        <v>369</v>
      </c>
      <c r="B99" s="0" t="n">
        <f aca="false">IFERROR(IF(AND($B$55="Yes",OR($J$55="Not addressed",$J$55="Excluded",$J$55="Unpriced")),1,0),0)</f>
        <v>0</v>
      </c>
      <c r="C99" s="0" t="str">
        <f aca="false">IF($J$55="Excluded","Risk","Question")</f>
        <v>Question</v>
      </c>
      <c r="D99" s="0" t="n">
        <f aca="false">IF(C99="Error",1,IF(C99="Question",2,3))</f>
        <v>2</v>
      </c>
      <c r="E99" s="0" t="str">
        <f aca="false">IF(B99=1,"Pickup","")</f>
        <v/>
      </c>
      <c r="F99" s="0" t="str">
        <f aca="false">IF(B99=1,IF($J$55="Not addressed","Requested service not addressed",IF($J$55="Excluded","Requested service excluded","Requested service not priced")),"")</f>
        <v/>
      </c>
      <c r="G99" s="0" t="str">
        <f aca="false">IF(B99=1,IF($J$55="Excluded","The quotation excludes this service, but the client needs it.",IF($J$55="Unpriced","Lines exist but carry no amount (at cost / TBC).",IF(Audit!$J$19="No","Only covered by the forwarder's lump-sum or door-to-door claim; no itemised charge confirms it.","The quotation says nothing about this requested service."))),"")</f>
        <v/>
      </c>
      <c r="H99" s="0" t="str">
        <f aca="false">IF(B99=1,IF($J$55="Excluded","Tell the client to arrange and budget for this service separately.",IF($J$55="Unpriced","Ask the forwarder to price pickup.",IF(Audit!$J$19="No","Ask the forwarder to itemise this service or confirm in writing that it is included.","Ask the forwarder to quote it or confirm it is excluded."))),"")</f>
        <v/>
      </c>
      <c r="I99" s="0" t="str">
        <f aca="false">IF(B99=1,"","")</f>
        <v/>
      </c>
      <c r="J99" s="0" t="str">
        <f aca="false">IF(B99=1,D99*1000+ROW(),"")</f>
        <v/>
      </c>
      <c r="K99" s="0" t="str">
        <f aca="false">IF(AND(B99=1,C99="Question"),ROW(),"")</f>
        <v/>
      </c>
    </row>
    <row r="100" customFormat="false" ht="15" hidden="false" customHeight="false" outlineLevel="0" collapsed="false">
      <c r="A100" s="0" t="s">
        <v>370</v>
      </c>
      <c r="B100" s="0" t="n">
        <f aca="false">IFERROR(IF(AND($N$55&lt;&gt;"",$K$55&gt;0),1,0),0)</f>
        <v>0</v>
      </c>
      <c r="C100" s="0" t="str">
        <f aca="false">"Question"</f>
        <v>Question</v>
      </c>
      <c r="D100" s="0" t="n">
        <f aca="false">IF(C100="Error",1,IF(C100="Question",2,3))</f>
        <v>2</v>
      </c>
      <c r="E100" s="0" t="str">
        <f aca="false">IF(B100=1,"Pickup charges ("&amp;$M$55&amp;" line(s))","")</f>
        <v/>
      </c>
      <c r="F100" s="0" t="str">
        <f aca="false">IF(B100=1,"May be the "&amp;$N$55&amp;"'s cost under "&amp;Audit!$C$8,"")</f>
        <v/>
      </c>
      <c r="G100" s="0" t="str">
        <f aca="false">IF(B100=1,"Under "&amp;Audit!$C$8&amp;", the "&amp;$N$55&amp;" normally pays pickup charges.","")</f>
        <v/>
      </c>
      <c r="H100" s="0" t="str">
        <f aca="false">IF(B100=1,"Confirm with the client who pays; if the "&amp;$N$55&amp;", remove these charges from this quotation.","")</f>
        <v/>
      </c>
      <c r="I100" s="0" t="str">
        <f aca="false">IF(B100=1,$K$55,"")</f>
        <v/>
      </c>
      <c r="J100" s="0" t="str">
        <f aca="false">IF(B100=1,D100*1000+ROW(),"")</f>
        <v/>
      </c>
      <c r="K100" s="0" t="str">
        <f aca="false">IF(AND(B100=1,C100="Question"),ROW(),"")</f>
        <v/>
      </c>
    </row>
    <row r="101" customFormat="false" ht="15" hidden="false" customHeight="false" outlineLevel="0" collapsed="false">
      <c r="A101" s="0" t="s">
        <v>371</v>
      </c>
      <c r="B101" s="0" t="n">
        <f aca="false">IFERROR(IF(AND($B$55="No",$K$55&gt;0),1,0),0)</f>
        <v>0</v>
      </c>
      <c r="C101" s="0" t="str">
        <f aca="false">"Question"</f>
        <v>Question</v>
      </c>
      <c r="D101" s="0" t="n">
        <f aca="false">IF(C101="Error",1,IF(C101="Question",2,3))</f>
        <v>2</v>
      </c>
      <c r="E101" s="0" t="str">
        <f aca="false">IF(B101=1,"Pickup","")</f>
        <v/>
      </c>
      <c r="F101" s="0" t="str">
        <f aca="false">IF(B101=1,"Charged for a service the client did not request","")</f>
        <v/>
      </c>
      <c r="G101" s="0" t="str">
        <f aca="false">IF(B101=1,"The client did not ask for this service.","")</f>
        <v/>
      </c>
      <c r="H101" s="0" t="str">
        <f aca="false">IF(B101=1,"Ask the forwarder to remove it, or confirm with the client that it is needed.","")</f>
        <v/>
      </c>
      <c r="I101" s="0" t="str">
        <f aca="false">IF(B101=1,$K$55,"")</f>
        <v/>
      </c>
      <c r="J101" s="0" t="str">
        <f aca="false">IF(B101=1,D101*1000+ROW(),"")</f>
        <v/>
      </c>
      <c r="K101" s="0" t="str">
        <f aca="false">IF(AND(B101=1,C101="Question"),ROW(),"")</f>
        <v/>
      </c>
    </row>
    <row r="102" customFormat="false" ht="15" hidden="false" customHeight="false" outlineLevel="0" collapsed="false">
      <c r="A102" s="0" t="s">
        <v>372</v>
      </c>
      <c r="B102" s="0" t="n">
        <f aca="false">IFERROR(IF(AND($B$56="Yes",OR($J$56="Not addressed",$J$56="Excluded",$J$56="Unpriced")),1,0),0)</f>
        <v>0</v>
      </c>
      <c r="C102" s="0" t="str">
        <f aca="false">IF($J$56="Excluded","Risk","Question")</f>
        <v>Question</v>
      </c>
      <c r="D102" s="0" t="n">
        <f aca="false">IF(C102="Error",1,IF(C102="Question",2,3))</f>
        <v>2</v>
      </c>
      <c r="E102" s="0" t="str">
        <f aca="false">IF(B102=1,"Export &amp; origin","")</f>
        <v/>
      </c>
      <c r="F102" s="0" t="str">
        <f aca="false">IF(B102=1,IF($J$56="Not addressed","Requested service not addressed",IF($J$56="Excluded","Requested service excluded","Requested service not priced")),"")</f>
        <v/>
      </c>
      <c r="G102" s="0" t="str">
        <f aca="false">IF(B102=1,IF($J$56="Excluded","The quotation excludes this service, but the client needs it.",IF($J$56="Unpriced","Lines exist but carry no amount (at cost / TBC).",IF(Audit!$J$19="No","Only covered by the forwarder's lump-sum or door-to-door claim; no itemised charge confirms it.","The quotation says nothing about this requested service."))),"")</f>
        <v/>
      </c>
      <c r="H102" s="0" t="str">
        <f aca="false">IF(B102=1,IF($J$56="Excluded","Tell the client to arrange and budget for this service separately.",IF($J$56="Unpriced","Ask the forwarder to price export &amp; origin.",IF(Audit!$J$19="No","Ask the forwarder to itemise this service or confirm in writing that it is included.","Ask the forwarder to quote it or confirm it is excluded."))),"")</f>
        <v/>
      </c>
      <c r="I102" s="0" t="str">
        <f aca="false">IF(B102=1,"","")</f>
        <v/>
      </c>
      <c r="J102" s="0" t="str">
        <f aca="false">IF(B102=1,D102*1000+ROW(),"")</f>
        <v/>
      </c>
      <c r="K102" s="0" t="str">
        <f aca="false">IF(AND(B102=1,C102="Question"),ROW(),"")</f>
        <v/>
      </c>
    </row>
    <row r="103" customFormat="false" ht="15" hidden="false" customHeight="false" outlineLevel="0" collapsed="false">
      <c r="A103" s="0" t="s">
        <v>373</v>
      </c>
      <c r="B103" s="0" t="n">
        <f aca="false">IFERROR(IF(AND($N$56&lt;&gt;"",$K$56&gt;0),1,0),0)</f>
        <v>0</v>
      </c>
      <c r="C103" s="0" t="str">
        <f aca="false">"Question"</f>
        <v>Question</v>
      </c>
      <c r="D103" s="0" t="n">
        <f aca="false">IF(C103="Error",1,IF(C103="Question",2,3))</f>
        <v>2</v>
      </c>
      <c r="E103" s="0" t="str">
        <f aca="false">IF(B103=1,"Export &amp; origin charges ("&amp;$M$56&amp;" line(s))","")</f>
        <v/>
      </c>
      <c r="F103" s="0" t="str">
        <f aca="false">IF(B103=1,"May be the "&amp;$N$56&amp;"'s cost under "&amp;Audit!$C$8,"")</f>
        <v/>
      </c>
      <c r="G103" s="0" t="str">
        <f aca="false">IF(B103=1,"Under "&amp;Audit!$C$8&amp;", the "&amp;$N$56&amp;" normally pays export &amp; origin charges.","")</f>
        <v/>
      </c>
      <c r="H103" s="0" t="str">
        <f aca="false">IF(B103=1,"Confirm with the client who pays; if the "&amp;$N$56&amp;", remove these charges from this quotation.","")</f>
        <v/>
      </c>
      <c r="I103" s="0" t="str">
        <f aca="false">IF(B103=1,$K$56,"")</f>
        <v/>
      </c>
      <c r="J103" s="0" t="str">
        <f aca="false">IF(B103=1,D103*1000+ROW(),"")</f>
        <v/>
      </c>
      <c r="K103" s="0" t="str">
        <f aca="false">IF(AND(B103=1,C103="Question"),ROW(),"")</f>
        <v/>
      </c>
    </row>
    <row r="104" customFormat="false" ht="15" hidden="false" customHeight="false" outlineLevel="0" collapsed="false">
      <c r="A104" s="0" t="s">
        <v>374</v>
      </c>
      <c r="B104" s="0" t="n">
        <f aca="false">IFERROR(IF(AND($B$56="No",$K$56&gt;0),1,0),0)</f>
        <v>0</v>
      </c>
      <c r="C104" s="0" t="str">
        <f aca="false">"Question"</f>
        <v>Question</v>
      </c>
      <c r="D104" s="0" t="n">
        <f aca="false">IF(C104="Error",1,IF(C104="Question",2,3))</f>
        <v>2</v>
      </c>
      <c r="E104" s="0" t="str">
        <f aca="false">IF(B104=1,"Export &amp; origin","")</f>
        <v/>
      </c>
      <c r="F104" s="0" t="str">
        <f aca="false">IF(B104=1,"Charged for a service the client did not request","")</f>
        <v/>
      </c>
      <c r="G104" s="0" t="str">
        <f aca="false">IF(B104=1,"The client did not ask for this service.","")</f>
        <v/>
      </c>
      <c r="H104" s="0" t="str">
        <f aca="false">IF(B104=1,"Ask the forwarder to remove it, or confirm with the client that it is needed.","")</f>
        <v/>
      </c>
      <c r="I104" s="0" t="str">
        <f aca="false">IF(B104=1,$K$56,"")</f>
        <v/>
      </c>
      <c r="J104" s="0" t="str">
        <f aca="false">IF(B104=1,D104*1000+ROW(),"")</f>
        <v/>
      </c>
      <c r="K104" s="0" t="str">
        <f aca="false">IF(AND(B104=1,C104="Question"),ROW(),"")</f>
        <v/>
      </c>
    </row>
    <row r="105" customFormat="false" ht="15" hidden="false" customHeight="false" outlineLevel="0" collapsed="false">
      <c r="A105" s="0" t="s">
        <v>375</v>
      </c>
      <c r="B105" s="0" t="n">
        <f aca="false">IFERROR(IF(AND($B$57="Yes",OR($J$57="Not addressed",$J$57="Excluded",$J$57="Unpriced")),1,0),0)</f>
        <v>0</v>
      </c>
      <c r="C105" s="0" t="str">
        <f aca="false">IF($J$57="Excluded","Risk","Question")</f>
        <v>Question</v>
      </c>
      <c r="D105" s="0" t="n">
        <f aca="false">IF(C105="Error",1,IF(C105="Question",2,3))</f>
        <v>2</v>
      </c>
      <c r="E105" s="0" t="str">
        <f aca="false">IF(B105=1,"Main freight","")</f>
        <v/>
      </c>
      <c r="F105" s="0" t="str">
        <f aca="false">IF(B105=1,IF($J$57="Not addressed","Requested service not addressed",IF($J$57="Excluded","Requested service excluded","Requested service not priced")),"")</f>
        <v/>
      </c>
      <c r="G105" s="0" t="str">
        <f aca="false">IF(B105=1,IF($J$57="Excluded","The quotation excludes this service, but the client needs it.",IF($J$57="Unpriced","Lines exist but carry no amount (at cost / TBC).",IF(Audit!$J$19="No","Only covered by the forwarder's lump-sum or door-to-door claim; no itemised charge confirms it.","The quotation says nothing about this requested service."))),"")</f>
        <v/>
      </c>
      <c r="H105" s="0" t="str">
        <f aca="false">IF(B105=1,IF($J$57="Excluded","Tell the client to arrange and budget for this service separately.",IF($J$57="Unpriced","Ask the forwarder to price main freight.",IF(Audit!$J$19="No","Ask the forwarder to itemise this service or confirm in writing that it is included.","Ask the forwarder to quote it or confirm it is excluded."))),"")</f>
        <v/>
      </c>
      <c r="I105" s="0" t="str">
        <f aca="false">IF(B105=1,"","")</f>
        <v/>
      </c>
      <c r="J105" s="0" t="str">
        <f aca="false">IF(B105=1,D105*1000+ROW(),"")</f>
        <v/>
      </c>
      <c r="K105" s="0" t="str">
        <f aca="false">IF(AND(B105=1,C105="Question"),ROW(),"")</f>
        <v/>
      </c>
    </row>
    <row r="106" customFormat="false" ht="15" hidden="false" customHeight="false" outlineLevel="0" collapsed="false">
      <c r="A106" s="0" t="s">
        <v>376</v>
      </c>
      <c r="B106" s="0" t="n">
        <f aca="false">IFERROR(IF(AND($N$57&lt;&gt;"",$K$57&gt;0),1,0),0)</f>
        <v>0</v>
      </c>
      <c r="C106" s="0" t="str">
        <f aca="false">"Question"</f>
        <v>Question</v>
      </c>
      <c r="D106" s="0" t="n">
        <f aca="false">IF(C106="Error",1,IF(C106="Question",2,3))</f>
        <v>2</v>
      </c>
      <c r="E106" s="0" t="str">
        <f aca="false">IF(B106=1,"Main freight charges ("&amp;$M$57&amp;" line(s))","")</f>
        <v/>
      </c>
      <c r="F106" s="0" t="str">
        <f aca="false">IF(B106=1,"May be the "&amp;$N$57&amp;"'s cost under "&amp;Audit!$C$8,"")</f>
        <v/>
      </c>
      <c r="G106" s="0" t="str">
        <f aca="false">IF(B106=1,"Under "&amp;Audit!$C$8&amp;", the "&amp;$N$57&amp;" normally pays main freight charges.","")</f>
        <v/>
      </c>
      <c r="H106" s="0" t="str">
        <f aca="false">IF(B106=1,"Confirm with the client who pays; if the "&amp;$N$57&amp;", remove these charges from this quotation.","")</f>
        <v/>
      </c>
      <c r="I106" s="0" t="str">
        <f aca="false">IF(B106=1,$K$57,"")</f>
        <v/>
      </c>
      <c r="J106" s="0" t="str">
        <f aca="false">IF(B106=1,D106*1000+ROW(),"")</f>
        <v/>
      </c>
      <c r="K106" s="0" t="str">
        <f aca="false">IF(AND(B106=1,C106="Question"),ROW(),"")</f>
        <v/>
      </c>
    </row>
    <row r="107" customFormat="false" ht="15" hidden="false" customHeight="false" outlineLevel="0" collapsed="false">
      <c r="A107" s="0" t="s">
        <v>377</v>
      </c>
      <c r="B107" s="0" t="n">
        <f aca="false">IFERROR(IF(AND($B$57="No",$K$57&gt;0),1,0),0)</f>
        <v>0</v>
      </c>
      <c r="C107" s="0" t="str">
        <f aca="false">"Question"</f>
        <v>Question</v>
      </c>
      <c r="D107" s="0" t="n">
        <f aca="false">IF(C107="Error",1,IF(C107="Question",2,3))</f>
        <v>2</v>
      </c>
      <c r="E107" s="0" t="str">
        <f aca="false">IF(B107=1,"Main freight","")</f>
        <v/>
      </c>
      <c r="F107" s="0" t="str">
        <f aca="false">IF(B107=1,"Charged for a service the client did not request","")</f>
        <v/>
      </c>
      <c r="G107" s="0" t="str">
        <f aca="false">IF(B107=1,"The client did not ask for this service.","")</f>
        <v/>
      </c>
      <c r="H107" s="0" t="str">
        <f aca="false">IF(B107=1,"Ask the forwarder to remove it, or confirm with the client that it is needed.","")</f>
        <v/>
      </c>
      <c r="I107" s="0" t="str">
        <f aca="false">IF(B107=1,$K$57,"")</f>
        <v/>
      </c>
      <c r="J107" s="0" t="str">
        <f aca="false">IF(B107=1,D107*1000+ROW(),"")</f>
        <v/>
      </c>
      <c r="K107" s="0" t="str">
        <f aca="false">IF(AND(B107=1,C107="Question"),ROW(),"")</f>
        <v/>
      </c>
    </row>
    <row r="108" customFormat="false" ht="15" hidden="false" customHeight="false" outlineLevel="0" collapsed="false">
      <c r="A108" s="0" t="s">
        <v>378</v>
      </c>
      <c r="B108" s="0" t="n">
        <f aca="false">IFERROR(IF(AND($B$58="Yes",OR($J$58="Not addressed",$J$58="Excluded",$J$58="Unpriced")),1,0),0)</f>
        <v>0</v>
      </c>
      <c r="C108" s="0" t="str">
        <f aca="false">IF($J$58="Excluded","Risk","Question")</f>
        <v>Question</v>
      </c>
      <c r="D108" s="0" t="n">
        <f aca="false">IF(C108="Error",1,IF(C108="Question",2,3))</f>
        <v>2</v>
      </c>
      <c r="E108" s="0" t="str">
        <f aca="false">IF(B108=1,"Destination port &amp; handling","")</f>
        <v/>
      </c>
      <c r="F108" s="0" t="str">
        <f aca="false">IF(B108=1,IF($J$58="Not addressed","Requested service not addressed",IF($J$58="Excluded","Requested service excluded","Requested service not priced")),"")</f>
        <v/>
      </c>
      <c r="G108" s="0" t="str">
        <f aca="false">IF(B108=1,IF($J$58="Excluded","The quotation excludes this service, but the client needs it.",IF($J$58="Unpriced","Lines exist but carry no amount (at cost / TBC).",IF(Audit!$J$19="No","Only covered by the forwarder's lump-sum or door-to-door claim; no itemised charge confirms it.","The quotation says nothing about this requested service."))),"")</f>
        <v/>
      </c>
      <c r="H108" s="0" t="str">
        <f aca="false">IF(B108=1,IF($J$58="Excluded","Tell the client to arrange and budget for this service separately.",IF($J$58="Unpriced","Ask the forwarder to price destination port &amp; handling.",IF(Audit!$J$19="No","Ask the forwarder to itemise this service or confirm in writing that it is included.","Ask the forwarder to quote it or confirm it is excluded."))),"")</f>
        <v/>
      </c>
      <c r="I108" s="0" t="str">
        <f aca="false">IF(B108=1,"","")</f>
        <v/>
      </c>
      <c r="J108" s="0" t="str">
        <f aca="false">IF(B108=1,D108*1000+ROW(),"")</f>
        <v/>
      </c>
      <c r="K108" s="0" t="str">
        <f aca="false">IF(AND(B108=1,C108="Question"),ROW(),"")</f>
        <v/>
      </c>
    </row>
    <row r="109" customFormat="false" ht="15" hidden="false" customHeight="false" outlineLevel="0" collapsed="false">
      <c r="A109" s="0" t="s">
        <v>379</v>
      </c>
      <c r="B109" s="0" t="n">
        <f aca="false">IFERROR(IF(AND($N$58&lt;&gt;"",$K$58&gt;0),1,0),0)</f>
        <v>0</v>
      </c>
      <c r="C109" s="0" t="str">
        <f aca="false">"Question"</f>
        <v>Question</v>
      </c>
      <c r="D109" s="0" t="n">
        <f aca="false">IF(C109="Error",1,IF(C109="Question",2,3))</f>
        <v>2</v>
      </c>
      <c r="E109" s="0" t="str">
        <f aca="false">IF(B109=1,"Destination port &amp; handling charges ("&amp;$M$58&amp;" line(s))","")</f>
        <v/>
      </c>
      <c r="F109" s="0" t="str">
        <f aca="false">IF(B109=1,"May be the "&amp;$N$58&amp;"'s cost under "&amp;Audit!$C$8,"")</f>
        <v/>
      </c>
      <c r="G109" s="0" t="str">
        <f aca="false">IF(B109=1,"Under "&amp;Audit!$C$8&amp;", the "&amp;$N$58&amp;" normally pays destination port &amp; handling charges.","")</f>
        <v/>
      </c>
      <c r="H109" s="0" t="str">
        <f aca="false">IF(B109=1,"Confirm with the client who pays; if the "&amp;$N$58&amp;", remove these charges from this quotation.","")</f>
        <v/>
      </c>
      <c r="I109" s="0" t="str">
        <f aca="false">IF(B109=1,$K$58,"")</f>
        <v/>
      </c>
      <c r="J109" s="0" t="str">
        <f aca="false">IF(B109=1,D109*1000+ROW(),"")</f>
        <v/>
      </c>
      <c r="K109" s="0" t="str">
        <f aca="false">IF(AND(B109=1,C109="Question"),ROW(),"")</f>
        <v/>
      </c>
    </row>
    <row r="110" customFormat="false" ht="15" hidden="false" customHeight="false" outlineLevel="0" collapsed="false">
      <c r="A110" s="0" t="s">
        <v>380</v>
      </c>
      <c r="B110" s="0" t="n">
        <f aca="false">IFERROR(IF(AND($B$58="No",$K$58&gt;0),1,0),0)</f>
        <v>0</v>
      </c>
      <c r="C110" s="0" t="str">
        <f aca="false">"Question"</f>
        <v>Question</v>
      </c>
      <c r="D110" s="0" t="n">
        <f aca="false">IF(C110="Error",1,IF(C110="Question",2,3))</f>
        <v>2</v>
      </c>
      <c r="E110" s="0" t="str">
        <f aca="false">IF(B110=1,"Destination port &amp; handling","")</f>
        <v/>
      </c>
      <c r="F110" s="0" t="str">
        <f aca="false">IF(B110=1,"Charged for a service the client did not request","")</f>
        <v/>
      </c>
      <c r="G110" s="0" t="str">
        <f aca="false">IF(B110=1,"The client did not ask for this service.","")</f>
        <v/>
      </c>
      <c r="H110" s="0" t="str">
        <f aca="false">IF(B110=1,"Ask the forwarder to remove it, or confirm with the client that it is needed.","")</f>
        <v/>
      </c>
      <c r="I110" s="0" t="str">
        <f aca="false">IF(B110=1,$K$58,"")</f>
        <v/>
      </c>
      <c r="J110" s="0" t="str">
        <f aca="false">IF(B110=1,D110*1000+ROW(),"")</f>
        <v/>
      </c>
      <c r="K110" s="0" t="str">
        <f aca="false">IF(AND(B110=1,C110="Question"),ROW(),"")</f>
        <v/>
      </c>
    </row>
    <row r="111" customFormat="false" ht="15" hidden="false" customHeight="false" outlineLevel="0" collapsed="false">
      <c r="A111" s="0" t="s">
        <v>381</v>
      </c>
      <c r="B111" s="0" t="n">
        <f aca="false">IFERROR(IF(AND($B$59="Yes",OR($J$59="Not addressed",$J$59="Excluded",$J$59="Unpriced")),1,0),0)</f>
        <v>0</v>
      </c>
      <c r="C111" s="0" t="str">
        <f aca="false">IF($J$59="Excluded","Risk","Question")</f>
        <v>Question</v>
      </c>
      <c r="D111" s="0" t="n">
        <f aca="false">IF(C111="Error",1,IF(C111="Question",2,3))</f>
        <v>2</v>
      </c>
      <c r="E111" s="0" t="str">
        <f aca="false">IF(B111=1,"Import clearance","")</f>
        <v/>
      </c>
      <c r="F111" s="0" t="str">
        <f aca="false">IF(B111=1,IF($J$59="Not addressed","Requested service not addressed",IF($J$59="Excluded","Requested service excluded","Requested service not priced")),"")</f>
        <v/>
      </c>
      <c r="G111" s="0" t="str">
        <f aca="false">IF(B111=1,IF($J$59="Excluded","The quotation excludes this service, but the client needs it.",IF($J$59="Unpriced","Lines exist but carry no amount (at cost / TBC).",IF(Audit!$J$19="No","Only covered by the forwarder's lump-sum or door-to-door claim; no itemised charge confirms it.","The quotation says nothing about this requested service."))),"")</f>
        <v/>
      </c>
      <c r="H111" s="0" t="str">
        <f aca="false">IF(B111=1,IF($J$59="Excluded","Tell the client to arrange and budget for this service separately.",IF($J$59="Unpriced","Ask the forwarder to price import clearance.",IF(Audit!$J$19="No","Ask the forwarder to itemise this service or confirm in writing that it is included.","Ask the forwarder to quote it or confirm it is excluded."))),"")</f>
        <v/>
      </c>
      <c r="I111" s="0" t="str">
        <f aca="false">IF(B111=1,"","")</f>
        <v/>
      </c>
      <c r="J111" s="0" t="str">
        <f aca="false">IF(B111=1,D111*1000+ROW(),"")</f>
        <v/>
      </c>
      <c r="K111" s="0" t="str">
        <f aca="false">IF(AND(B111=1,C111="Question"),ROW(),"")</f>
        <v/>
      </c>
    </row>
    <row r="112" customFormat="false" ht="15" hidden="false" customHeight="false" outlineLevel="0" collapsed="false">
      <c r="A112" s="0" t="s">
        <v>382</v>
      </c>
      <c r="B112" s="0" t="n">
        <f aca="false">IFERROR(IF(AND($N$59&lt;&gt;"",$K$59&gt;0),1,0),0)</f>
        <v>0</v>
      </c>
      <c r="C112" s="0" t="str">
        <f aca="false">"Question"</f>
        <v>Question</v>
      </c>
      <c r="D112" s="0" t="n">
        <f aca="false">IF(C112="Error",1,IF(C112="Question",2,3))</f>
        <v>2</v>
      </c>
      <c r="E112" s="0" t="str">
        <f aca="false">IF(B112=1,"Import clearance charges ("&amp;$M$59&amp;" line(s))","")</f>
        <v/>
      </c>
      <c r="F112" s="0" t="str">
        <f aca="false">IF(B112=1,"May be the "&amp;$N$59&amp;"'s cost under "&amp;Audit!$C$8,"")</f>
        <v/>
      </c>
      <c r="G112" s="0" t="str">
        <f aca="false">IF(B112=1,"Under "&amp;Audit!$C$8&amp;", the "&amp;$N$59&amp;" normally pays import clearance charges.","")</f>
        <v/>
      </c>
      <c r="H112" s="0" t="str">
        <f aca="false">IF(B112=1,"Confirm with the client who pays; if the "&amp;$N$59&amp;", remove these charges from this quotation.","")</f>
        <v/>
      </c>
      <c r="I112" s="0" t="str">
        <f aca="false">IF(B112=1,$K$59,"")</f>
        <v/>
      </c>
      <c r="J112" s="0" t="str">
        <f aca="false">IF(B112=1,D112*1000+ROW(),"")</f>
        <v/>
      </c>
      <c r="K112" s="0" t="str">
        <f aca="false">IF(AND(B112=1,C112="Question"),ROW(),"")</f>
        <v/>
      </c>
    </row>
    <row r="113" customFormat="false" ht="15" hidden="false" customHeight="false" outlineLevel="0" collapsed="false">
      <c r="A113" s="0" t="s">
        <v>383</v>
      </c>
      <c r="B113" s="0" t="n">
        <f aca="false">IFERROR(IF(AND($B$59="No",$K$59&gt;0),1,0),0)</f>
        <v>0</v>
      </c>
      <c r="C113" s="0" t="str">
        <f aca="false">"Question"</f>
        <v>Question</v>
      </c>
      <c r="D113" s="0" t="n">
        <f aca="false">IF(C113="Error",1,IF(C113="Question",2,3))</f>
        <v>2</v>
      </c>
      <c r="E113" s="0" t="str">
        <f aca="false">IF(B113=1,"Import clearance","")</f>
        <v/>
      </c>
      <c r="F113" s="0" t="str">
        <f aca="false">IF(B113=1,"Charged for a service the client did not request","")</f>
        <v/>
      </c>
      <c r="G113" s="0" t="str">
        <f aca="false">IF(B113=1,"The client did not ask for this service.","")</f>
        <v/>
      </c>
      <c r="H113" s="0" t="str">
        <f aca="false">IF(B113=1,"Ask the forwarder to remove it, or confirm with the client that it is needed.","")</f>
        <v/>
      </c>
      <c r="I113" s="0" t="str">
        <f aca="false">IF(B113=1,$K$59,"")</f>
        <v/>
      </c>
      <c r="J113" s="0" t="str">
        <f aca="false">IF(B113=1,D113*1000+ROW(),"")</f>
        <v/>
      </c>
      <c r="K113" s="0" t="str">
        <f aca="false">IF(AND(B113=1,C113="Question"),ROW(),"")</f>
        <v/>
      </c>
    </row>
    <row r="114" customFormat="false" ht="15" hidden="false" customHeight="false" outlineLevel="0" collapsed="false">
      <c r="A114" s="0" t="s">
        <v>384</v>
      </c>
      <c r="B114" s="0" t="n">
        <f aca="false">IFERROR(IF(AND($B$60="Yes",OR($J$60="Not addressed",$J$60="Excluded",$J$60="Unpriced")),1,0),0)</f>
        <v>0</v>
      </c>
      <c r="C114" s="0" t="str">
        <f aca="false">IF($J$60="Excluded","Risk","Question")</f>
        <v>Question</v>
      </c>
      <c r="D114" s="0" t="n">
        <f aca="false">IF(C114="Error",1,IF(C114="Question",2,3))</f>
        <v>2</v>
      </c>
      <c r="E114" s="0" t="str">
        <f aca="false">IF(B114=1,"Delivery","")</f>
        <v/>
      </c>
      <c r="F114" s="0" t="str">
        <f aca="false">IF(B114=1,IF($J$60="Not addressed","Requested service not addressed",IF($J$60="Excluded","Requested service excluded","Requested service not priced")),"")</f>
        <v/>
      </c>
      <c r="G114" s="0" t="str">
        <f aca="false">IF(B114=1,IF($J$60="Excluded","The quotation excludes this service, but the client needs it.",IF($J$60="Unpriced","Lines exist but carry no amount (at cost / TBC).",IF(Audit!$J$19="No","Only covered by the forwarder's lump-sum or door-to-door claim; no itemised charge confirms it.","The quotation says nothing about this requested service."))),"")</f>
        <v/>
      </c>
      <c r="H114" s="0" t="str">
        <f aca="false">IF(B114=1,IF($J$60="Excluded","Tell the client to arrange and budget for this service separately.",IF($J$60="Unpriced","Ask the forwarder to price delivery.",IF(Audit!$J$19="No","Ask the forwarder to itemise this service or confirm in writing that it is included.","Ask the forwarder to quote it or confirm it is excluded."))),"")</f>
        <v/>
      </c>
      <c r="I114" s="0" t="str">
        <f aca="false">IF(B114=1,"","")</f>
        <v/>
      </c>
      <c r="J114" s="0" t="str">
        <f aca="false">IF(B114=1,D114*1000+ROW(),"")</f>
        <v/>
      </c>
      <c r="K114" s="0" t="str">
        <f aca="false">IF(AND(B114=1,C114="Question"),ROW(),"")</f>
        <v/>
      </c>
    </row>
    <row r="115" customFormat="false" ht="15" hidden="false" customHeight="false" outlineLevel="0" collapsed="false">
      <c r="A115" s="0" t="s">
        <v>385</v>
      </c>
      <c r="B115" s="0" t="n">
        <f aca="false">IFERROR(IF(AND($N$60&lt;&gt;"",$K$60&gt;0),1,0),0)</f>
        <v>0</v>
      </c>
      <c r="C115" s="0" t="str">
        <f aca="false">"Question"</f>
        <v>Question</v>
      </c>
      <c r="D115" s="0" t="n">
        <f aca="false">IF(C115="Error",1,IF(C115="Question",2,3))</f>
        <v>2</v>
      </c>
      <c r="E115" s="0" t="str">
        <f aca="false">IF(B115=1,"Delivery charges ("&amp;$M$60&amp;" line(s))","")</f>
        <v/>
      </c>
      <c r="F115" s="0" t="str">
        <f aca="false">IF(B115=1,"May be the "&amp;$N$60&amp;"'s cost under "&amp;Audit!$C$8,"")</f>
        <v/>
      </c>
      <c r="G115" s="0" t="str">
        <f aca="false">IF(B115=1,"Under "&amp;Audit!$C$8&amp;", the "&amp;$N$60&amp;" normally pays delivery charges.","")</f>
        <v/>
      </c>
      <c r="H115" s="0" t="str">
        <f aca="false">IF(B115=1,"Confirm with the client who pays; if the "&amp;$N$60&amp;", remove these charges from this quotation.","")</f>
        <v/>
      </c>
      <c r="I115" s="0" t="str">
        <f aca="false">IF(B115=1,$K$60,"")</f>
        <v/>
      </c>
      <c r="J115" s="0" t="str">
        <f aca="false">IF(B115=1,D115*1000+ROW(),"")</f>
        <v/>
      </c>
      <c r="K115" s="0" t="str">
        <f aca="false">IF(AND(B115=1,C115="Question"),ROW(),"")</f>
        <v/>
      </c>
    </row>
    <row r="116" customFormat="false" ht="15" hidden="false" customHeight="false" outlineLevel="0" collapsed="false">
      <c r="A116" s="0" t="s">
        <v>386</v>
      </c>
      <c r="B116" s="0" t="n">
        <f aca="false">IFERROR(IF(AND($B$60="No",$K$60&gt;0),1,0),0)</f>
        <v>0</v>
      </c>
      <c r="C116" s="0" t="str">
        <f aca="false">"Question"</f>
        <v>Question</v>
      </c>
      <c r="D116" s="0" t="n">
        <f aca="false">IF(C116="Error",1,IF(C116="Question",2,3))</f>
        <v>2</v>
      </c>
      <c r="E116" s="0" t="str">
        <f aca="false">IF(B116=1,"Delivery","")</f>
        <v/>
      </c>
      <c r="F116" s="0" t="str">
        <f aca="false">IF(B116=1,"Charged for a service the client did not request","")</f>
        <v/>
      </c>
      <c r="G116" s="0" t="str">
        <f aca="false">IF(B116=1,"The client did not ask for this service.","")</f>
        <v/>
      </c>
      <c r="H116" s="0" t="str">
        <f aca="false">IF(B116=1,"Ask the forwarder to remove it, or confirm with the client that it is needed.","")</f>
        <v/>
      </c>
      <c r="I116" s="0" t="str">
        <f aca="false">IF(B116=1,$K$60,"")</f>
        <v/>
      </c>
      <c r="J116" s="0" t="str">
        <f aca="false">IF(B116=1,D116*1000+ROW(),"")</f>
        <v/>
      </c>
      <c r="K116" s="0" t="str">
        <f aca="false">IF(AND(B116=1,C116="Question"),ROW(),"")</f>
        <v/>
      </c>
    </row>
    <row r="117" customFormat="false" ht="15" hidden="false" customHeight="false" outlineLevel="0" collapsed="false">
      <c r="A117" s="0" t="s">
        <v>387</v>
      </c>
      <c r="B117" s="0" t="n">
        <f aca="false">IFERROR(IF(AND($B$61="Yes",OR($J$61="Not addressed",$J$61="Excluded",$J$61="Unpriced")),1,0),0)</f>
        <v>0</v>
      </c>
      <c r="C117" s="0" t="str">
        <f aca="false">IF($J$61="Excluded","Risk","Question")</f>
        <v>Question</v>
      </c>
      <c r="D117" s="0" t="n">
        <f aca="false">IF(C117="Error",1,IF(C117="Question",2,3))</f>
        <v>2</v>
      </c>
      <c r="E117" s="0" t="str">
        <f aca="false">IF(B117=1,"Duties &amp; taxes","")</f>
        <v/>
      </c>
      <c r="F117" s="0" t="str">
        <f aca="false">IF(B117=1,IF($J$61="Not addressed","Requested service not addressed",IF($J$61="Excluded","Requested service excluded","Requested service not priced")),"")</f>
        <v/>
      </c>
      <c r="G117" s="0" t="str">
        <f aca="false">IF(B117=1,IF($J$61="Excluded","The quotation excludes this service, but the client needs it.",IF($J$61="Unpriced","Lines exist but carry no amount (at cost / TBC).",IF(Audit!$J$19="No","Only covered by the forwarder's lump-sum or door-to-door claim; no itemised charge confirms it.","The quotation says nothing about this requested service."))),"")</f>
        <v/>
      </c>
      <c r="H117" s="0" t="str">
        <f aca="false">IF(B117=1,IF($J$61="Excluded","Tell the client to arrange and budget for this service separately.",IF($J$61="Unpriced","Ask for the duty rate, customs value and amounts; a licensed broker should confirm the HS code and any preferential rate.",IF(Audit!$J$19="No","Ask the forwarder to itemise this service or confirm in writing that it is included.","Ask the forwarder to quote it or confirm it is excluded."))),"")</f>
        <v/>
      </c>
      <c r="I117" s="0" t="str">
        <f aca="false">IF(B117=1,"","")</f>
        <v/>
      </c>
      <c r="J117" s="0" t="str">
        <f aca="false">IF(B117=1,D117*1000+ROW(),"")</f>
        <v/>
      </c>
      <c r="K117" s="0" t="str">
        <f aca="false">IF(AND(B117=1,C117="Question"),ROW(),"")</f>
        <v/>
      </c>
    </row>
    <row r="118" customFormat="false" ht="15" hidden="false" customHeight="false" outlineLevel="0" collapsed="false">
      <c r="A118" s="0" t="s">
        <v>388</v>
      </c>
      <c r="B118" s="0" t="n">
        <f aca="false">IFERROR(IF(AND($N$61&lt;&gt;"",$K$61&gt;0),1,0),0)</f>
        <v>0</v>
      </c>
      <c r="C118" s="0" t="str">
        <f aca="false">"Question"</f>
        <v>Question</v>
      </c>
      <c r="D118" s="0" t="n">
        <f aca="false">IF(C118="Error",1,IF(C118="Question",2,3))</f>
        <v>2</v>
      </c>
      <c r="E118" s="0" t="str">
        <f aca="false">IF(B118=1,"Duties &amp; taxes charges ("&amp;$M$61&amp;" line(s))","")</f>
        <v/>
      </c>
      <c r="F118" s="0" t="str">
        <f aca="false">IF(B118=1,"May be the "&amp;$N$61&amp;"'s cost under "&amp;Audit!$C$8,"")</f>
        <v/>
      </c>
      <c r="G118" s="0" t="str">
        <f aca="false">IF(B118=1,"Under "&amp;Audit!$C$8&amp;", the "&amp;$N$61&amp;" normally pays duties &amp; taxes charges.","")</f>
        <v/>
      </c>
      <c r="H118" s="0" t="str">
        <f aca="false">IF(B118=1,"Confirm with the client who pays; if the "&amp;$N$61&amp;", remove these charges from this quotation.","")</f>
        <v/>
      </c>
      <c r="I118" s="0" t="str">
        <f aca="false">IF(B118=1,$K$61,"")</f>
        <v/>
      </c>
      <c r="J118" s="0" t="str">
        <f aca="false">IF(B118=1,D118*1000+ROW(),"")</f>
        <v/>
      </c>
      <c r="K118" s="0" t="str">
        <f aca="false">IF(AND(B118=1,C118="Question"),ROW(),"")</f>
        <v/>
      </c>
    </row>
    <row r="119" customFormat="false" ht="15" hidden="false" customHeight="false" outlineLevel="0" collapsed="false">
      <c r="A119" s="0" t="s">
        <v>389</v>
      </c>
      <c r="B119" s="0" t="n">
        <f aca="false">IFERROR(IF(AND($B$61="No",$K$61&gt;0),1,0),0)</f>
        <v>0</v>
      </c>
      <c r="C119" s="0" t="str">
        <f aca="false">"Question"</f>
        <v>Question</v>
      </c>
      <c r="D119" s="0" t="n">
        <f aca="false">IF(C119="Error",1,IF(C119="Question",2,3))</f>
        <v>2</v>
      </c>
      <c r="E119" s="0" t="str">
        <f aca="false">IF(B119=1,"Duties &amp; taxes","")</f>
        <v/>
      </c>
      <c r="F119" s="0" t="str">
        <f aca="false">IF(B119=1,"Charged for a service the client did not request","")</f>
        <v/>
      </c>
      <c r="G119" s="0" t="str">
        <f aca="false">IF(B119=1,"The client did not ask for this service.","")</f>
        <v/>
      </c>
      <c r="H119" s="0" t="str">
        <f aca="false">IF(B119=1,"Ask the forwarder to remove it, or confirm with the client that it is needed.","")</f>
        <v/>
      </c>
      <c r="I119" s="0" t="str">
        <f aca="false">IF(B119=1,$K$61,"")</f>
        <v/>
      </c>
      <c r="J119" s="0" t="str">
        <f aca="false">IF(B119=1,D119*1000+ROW(),"")</f>
        <v/>
      </c>
      <c r="K119" s="0" t="str">
        <f aca="false">IF(AND(B119=1,C119="Question"),ROW(),"")</f>
        <v/>
      </c>
    </row>
    <row r="120" customFormat="false" ht="15" hidden="false" customHeight="false" outlineLevel="0" collapsed="false">
      <c r="A120" s="0" t="s">
        <v>390</v>
      </c>
      <c r="B120" s="0" t="n">
        <f aca="false">IFERROR(IF(LEFT($Q$2,5)="Error",1,0),0)</f>
        <v>0</v>
      </c>
      <c r="C120" s="0" t="str">
        <f aca="false">"Error"</f>
        <v>Error</v>
      </c>
      <c r="D120" s="0" t="n">
        <f aca="false">IF(C120="Error",1,IF(C120="Question",2,3))</f>
        <v>1</v>
      </c>
      <c r="E120" s="0" t="str">
        <f aca="false">IF(B120=1,"Line 1: "&amp;$B$2,"")</f>
        <v/>
      </c>
      <c r="F120" s="0" t="str">
        <f aca="false">IF(B120=1,"Line amount does not reconcile","")</f>
        <v/>
      </c>
      <c r="G120" s="0" t="str">
        <f aca="false">IF(B120=1,"Forwarder shows "&amp;TEXT($P$2,"#,##0.00")&amp;" vs calculated "&amp;TEXT($L$2,"#,##0.00")&amp;IF($Y$2&gt;0," before tax / "&amp;TEXT($M$2,"#,##0.00")&amp;" incl. tax","")&amp;" "&amp;$I$2,"")</f>
        <v/>
      </c>
      <c r="H120" s="0" t="str">
        <f aca="false">IF(B120=1,"Ask the forwarder to correct the amount or explain the difference.","")</f>
        <v/>
      </c>
      <c r="I120" s="0" t="str">
        <f aca="false">IF(B120=1,IF(ISNUMBER($J$2),ROUND($R$2*$J$2,2),""),"")</f>
        <v/>
      </c>
      <c r="J120" s="0" t="str">
        <f aca="false">IF(B120=1,D120*1000+ROW(),"")</f>
        <v/>
      </c>
      <c r="K120" s="0" t="str">
        <f aca="false">IF(AND(B120=1,C120="Question"),ROW(),"")</f>
        <v/>
      </c>
    </row>
    <row r="121" customFormat="false" ht="15" hidden="false" customHeight="false" outlineLevel="0" collapsed="false">
      <c r="A121" s="0" t="s">
        <v>391</v>
      </c>
      <c r="B121" s="0" t="n">
        <f aca="false">IFERROR(IF($S$2&gt;0,1,0),0)</f>
        <v>0</v>
      </c>
      <c r="C121" s="0" t="str">
        <f aca="false">"Error"</f>
        <v>Error</v>
      </c>
      <c r="D121" s="0" t="n">
        <f aca="false">IF(C121="Error",1,IF(C121="Question",2,3))</f>
        <v>1</v>
      </c>
      <c r="E121" s="0" t="str">
        <f aca="false">IF(B121=1,"Line 1: "&amp;$B$2,"")</f>
        <v/>
      </c>
      <c r="F121" s="0" t="str">
        <f aca="false">IF(B121=1,"Rate above the agreed rate","")</f>
        <v/>
      </c>
      <c r="G121" s="0" t="str">
        <f aca="false">IF(B121=1,"Quoted "&amp;TEXT($H$2,"#,##0.00##")&amp;" vs agreed "&amp;TEXT(Audit!$M$54,"#,##0.00##")&amp;" "&amp;Audit!$D$54,"")</f>
        <v/>
      </c>
      <c r="H121" s="0" t="str">
        <f aca="false">IF(B121=1,"Ask the forwarder to apply the agreed rate.","")</f>
        <v/>
      </c>
      <c r="I121" s="0" t="str">
        <f aca="false">IF(B121=1,$S$2,"")</f>
        <v/>
      </c>
      <c r="J121" s="0" t="str">
        <f aca="false">IF(B121=1,D121*1000+ROW(),"")</f>
        <v/>
      </c>
      <c r="K121" s="0" t="str">
        <f aca="false">IF(AND(B121=1,C121="Question"),ROW(),"")</f>
        <v/>
      </c>
    </row>
    <row r="122" customFormat="false" ht="15" hidden="false" customHeight="false" outlineLevel="0" collapsed="false">
      <c r="A122" s="0" t="s">
        <v>392</v>
      </c>
      <c r="B122" s="0" t="n">
        <f aca="false">IFERROR(IF($X$2&lt;&gt;"",1,0),0)</f>
        <v>0</v>
      </c>
      <c r="C122" s="0" t="str">
        <f aca="false">"Question"</f>
        <v>Question</v>
      </c>
      <c r="D122" s="0" t="n">
        <f aca="false">IF(C122="Error",1,IF(C122="Question",2,3))</f>
        <v>2</v>
      </c>
      <c r="E122" s="0" t="str">
        <f aca="false">IF(B122=1,"Line 1: "&amp;$B$2,"")</f>
        <v/>
      </c>
      <c r="F122" s="0" t="str">
        <f aca="false">IF(B122=1,IF($X$2="flag",INDEX(Lists!$B$21:$B$25,MATCH($T$2,Lists!$A$21:$A$25,0)),IF($X$2="status","Status missing",IF($X$2="basis","Charging unit not stated",IF($X$2="rate","Rate missing",IF($X$2="base","Base amount not stated",IF($X$2="unclass","Charge not explained",IF($X$2="dup","Possible duplicate (same name, same service)","Charge not in the rate agreement"))))))),"")</f>
        <v/>
      </c>
      <c r="G122" s="0" t="str">
        <f aca="false">IF(B122=1,IF($X$2="flag",IF(Audit!$O$54&lt;&gt;"",Audit!$O$54,INDEX(Lists!$C$21:$C$25,MATCH($T$2,Lists!$A$21:$A$25,0))),IF($X$2="status","No status entered for this line.",IF($X$2="basis","The quotation does not say per what unit this is charged.",IF($X$2="rate","No rate entered for a firm or estimated charge.",IF($X$2="base","A percentage charge needs the amount it is calculated on.",IF($X$2="unclass","The charge does not fit a standard category or its purpose is unclear.",IF($X$2="dup","The same charge name appears more than once in the same service.","A rate agreement was provided but has no rate for this charge."))))))),"")</f>
        <v/>
      </c>
      <c r="H122" s="0" t="str">
        <f aca="false">IF(B122=1,IF($X$2="flag",INDEX(Lists!$E$21:$E$25,MATCH($T$2,Lists!$A$21:$A$25,0)),IF($X$2="status","Set the line status.",IF($X$2="basis","Ask the forwarder for the charging unit (per container, per B/L, per CBM...).",IF($X$2="rate","Enter the rate, or set the status to At cost / TBC.",IF($X$2="base","Ask the forwarder for the base amount (e.g. customs value).",IF($X$2="unclass","Ask the forwarder what this charge covers.",IF($X$2="dup","Ask whether both lines are needed; remove the duplicate.","Ask why the charge is not in the agreement; check the contract."))))))),"")</f>
        <v/>
      </c>
      <c r="I122" s="0" t="str">
        <f aca="false">IF(B122=1,IF(OR($X$2="dup",AND($X$2="flag",IFERROR(INDEX(Lists!$G$21:$G$25,MATCH($T$2,Lists!$A$21:$A$25,0)),0)=1)),IF(ISNUMBER($N$2),$N$2,""),""),"")</f>
        <v/>
      </c>
      <c r="J122" s="0" t="str">
        <f aca="false">IF(B122=1,D122*1000+ROW(),"")</f>
        <v/>
      </c>
      <c r="K122" s="0" t="str">
        <f aca="false">IF(AND(B122=1,C122="Question"),ROW(),"")</f>
        <v/>
      </c>
    </row>
    <row r="123" customFormat="false" ht="15" hidden="false" customHeight="false" outlineLevel="0" collapsed="false">
      <c r="A123" s="0" t="s">
        <v>393</v>
      </c>
      <c r="B123" s="0" t="n">
        <f aca="false">IFERROR(IF(AND($W$2=1,$D$2&lt;&gt;"Duties &amp; taxes"),1,0),0)</f>
        <v>0</v>
      </c>
      <c r="C123" s="0" t="str">
        <f aca="false">"Risk"</f>
        <v>Risk</v>
      </c>
      <c r="D123" s="0" t="n">
        <f aca="false">IF(C123="Error",1,IF(C123="Question",2,3))</f>
        <v>3</v>
      </c>
      <c r="E123" s="0" t="str">
        <f aca="false">IF(B123=1,"Line 1: "&amp;$B$2,"")</f>
        <v/>
      </c>
      <c r="F123" s="0" t="str">
        <f aca="false">IF(B123=1,IF($F$2="TBC","Amount to be confirmed","Charged at cost - amount not quoted"),"")</f>
        <v/>
      </c>
      <c r="G123" s="0" t="str">
        <f aca="false">IF(B123=1,"The final cost is unknown until invoiced.","")</f>
        <v/>
      </c>
      <c r="H123" s="0" t="str">
        <f aca="false">IF(B123=1,"Ask for an indicative amount; tell the client it may be added.","")</f>
        <v/>
      </c>
      <c r="I123" s="0" t="str">
        <f aca="false">IF(B123=1,"","")</f>
        <v/>
      </c>
      <c r="J123" s="0" t="str">
        <f aca="false">IF(B123=1,D123*1000+ROW(),"")</f>
        <v/>
      </c>
      <c r="K123" s="0" t="str">
        <f aca="false">IF(AND(B123=1,C123="Question"),ROW(),"")</f>
        <v/>
      </c>
    </row>
    <row r="124" customFormat="false" ht="15" hidden="false" customHeight="false" outlineLevel="0" collapsed="false">
      <c r="A124" s="0" t="s">
        <v>394</v>
      </c>
      <c r="B124" s="0" t="n">
        <f aca="false">IFERROR(IF(LEFT($Q$3,5)="Error",1,0),0)</f>
        <v>0</v>
      </c>
      <c r="C124" s="0" t="str">
        <f aca="false">"Error"</f>
        <v>Error</v>
      </c>
      <c r="D124" s="0" t="n">
        <f aca="false">IF(C124="Error",1,IF(C124="Question",2,3))</f>
        <v>1</v>
      </c>
      <c r="E124" s="0" t="str">
        <f aca="false">IF(B124=1,"Line 2: "&amp;$B$3,"")</f>
        <v/>
      </c>
      <c r="F124" s="0" t="str">
        <f aca="false">IF(B124=1,"Line amount does not reconcile","")</f>
        <v/>
      </c>
      <c r="G124" s="0" t="str">
        <f aca="false">IF(B124=1,"Forwarder shows "&amp;TEXT($P$3,"#,##0.00")&amp;" vs calculated "&amp;TEXT($L$3,"#,##0.00")&amp;IF($Y$3&gt;0," before tax / "&amp;TEXT($M$3,"#,##0.00")&amp;" incl. tax","")&amp;" "&amp;$I$3,"")</f>
        <v/>
      </c>
      <c r="H124" s="0" t="str">
        <f aca="false">IF(B124=1,"Ask the forwarder to correct the amount or explain the difference.","")</f>
        <v/>
      </c>
      <c r="I124" s="0" t="str">
        <f aca="false">IF(B124=1,IF(ISNUMBER($J$3),ROUND($R$3*$J$3,2),""),"")</f>
        <v/>
      </c>
      <c r="J124" s="0" t="str">
        <f aca="false">IF(B124=1,D124*1000+ROW(),"")</f>
        <v/>
      </c>
      <c r="K124" s="0" t="str">
        <f aca="false">IF(AND(B124=1,C124="Question"),ROW(),"")</f>
        <v/>
      </c>
    </row>
    <row r="125" customFormat="false" ht="15" hidden="false" customHeight="false" outlineLevel="0" collapsed="false">
      <c r="A125" s="0" t="s">
        <v>395</v>
      </c>
      <c r="B125" s="0" t="n">
        <f aca="false">IFERROR(IF($S$3&gt;0,1,0),0)</f>
        <v>0</v>
      </c>
      <c r="C125" s="0" t="str">
        <f aca="false">"Error"</f>
        <v>Error</v>
      </c>
      <c r="D125" s="0" t="n">
        <f aca="false">IF(C125="Error",1,IF(C125="Question",2,3))</f>
        <v>1</v>
      </c>
      <c r="E125" s="0" t="str">
        <f aca="false">IF(B125=1,"Line 2: "&amp;$B$3,"")</f>
        <v/>
      </c>
      <c r="F125" s="0" t="str">
        <f aca="false">IF(B125=1,"Rate above the agreed rate","")</f>
        <v/>
      </c>
      <c r="G125" s="0" t="str">
        <f aca="false">IF(B125=1,"Quoted "&amp;TEXT($H$3,"#,##0.00##")&amp;" vs agreed "&amp;TEXT(Audit!$M$55,"#,##0.00##")&amp;" "&amp;Audit!$D$55,"")</f>
        <v/>
      </c>
      <c r="H125" s="0" t="str">
        <f aca="false">IF(B125=1,"Ask the forwarder to apply the agreed rate.","")</f>
        <v/>
      </c>
      <c r="I125" s="0" t="str">
        <f aca="false">IF(B125=1,$S$3,"")</f>
        <v/>
      </c>
      <c r="J125" s="0" t="str">
        <f aca="false">IF(B125=1,D125*1000+ROW(),"")</f>
        <v/>
      </c>
      <c r="K125" s="0" t="str">
        <f aca="false">IF(AND(B125=1,C125="Question"),ROW(),"")</f>
        <v/>
      </c>
    </row>
    <row r="126" customFormat="false" ht="15" hidden="false" customHeight="false" outlineLevel="0" collapsed="false">
      <c r="A126" s="0" t="s">
        <v>396</v>
      </c>
      <c r="B126" s="0" t="n">
        <f aca="false">IFERROR(IF($X$3&lt;&gt;"",1,0),0)</f>
        <v>0</v>
      </c>
      <c r="C126" s="0" t="str">
        <f aca="false">"Question"</f>
        <v>Question</v>
      </c>
      <c r="D126" s="0" t="n">
        <f aca="false">IF(C126="Error",1,IF(C126="Question",2,3))</f>
        <v>2</v>
      </c>
      <c r="E126" s="0" t="str">
        <f aca="false">IF(B126=1,"Line 2: "&amp;$B$3,"")</f>
        <v/>
      </c>
      <c r="F126" s="0" t="str">
        <f aca="false">IF(B126=1,IF($X$3="flag",INDEX(Lists!$B$21:$B$25,MATCH($T$3,Lists!$A$21:$A$25,0)),IF($X$3="status","Status missing",IF($X$3="basis","Charging unit not stated",IF($X$3="rate","Rate missing",IF($X$3="base","Base amount not stated",IF($X$3="unclass","Charge not explained",IF($X$3="dup","Possible duplicate (same name, same service)","Charge not in the rate agreement"))))))),"")</f>
        <v/>
      </c>
      <c r="G126" s="0" t="str">
        <f aca="false">IF(B126=1,IF($X$3="flag",IF(Audit!$O$55&lt;&gt;"",Audit!$O$55,INDEX(Lists!$C$21:$C$25,MATCH($T$3,Lists!$A$21:$A$25,0))),IF($X$3="status","No status entered for this line.",IF($X$3="basis","The quotation does not say per what unit this is charged.",IF($X$3="rate","No rate entered for a firm or estimated charge.",IF($X$3="base","A percentage charge needs the amount it is calculated on.",IF($X$3="unclass","The charge does not fit a standard category or its purpose is unclear.",IF($X$3="dup","The same charge name appears more than once in the same service.","A rate agreement was provided but has no rate for this charge."))))))),"")</f>
        <v/>
      </c>
      <c r="H126" s="0" t="str">
        <f aca="false">IF(B126=1,IF($X$3="flag",INDEX(Lists!$E$21:$E$25,MATCH($T$3,Lists!$A$21:$A$25,0)),IF($X$3="status","Set the line status.",IF($X$3="basis","Ask the forwarder for the charging unit (per container, per B/L, per CBM...).",IF($X$3="rate","Enter the rate, or set the status to At cost / TBC.",IF($X$3="base","Ask the forwarder for the base amount (e.g. customs value).",IF($X$3="unclass","Ask the forwarder what this charge covers.",IF($X$3="dup","Ask whether both lines are needed; remove the duplicate.","Ask why the charge is not in the agreement; check the contract."))))))),"")</f>
        <v/>
      </c>
      <c r="I126" s="0" t="str">
        <f aca="false">IF(B126=1,IF(OR($X$3="dup",AND($X$3="flag",IFERROR(INDEX(Lists!$G$21:$G$25,MATCH($T$3,Lists!$A$21:$A$25,0)),0)=1)),IF(ISNUMBER($N$3),$N$3,""),""),"")</f>
        <v/>
      </c>
      <c r="J126" s="0" t="str">
        <f aca="false">IF(B126=1,D126*1000+ROW(),"")</f>
        <v/>
      </c>
      <c r="K126" s="0" t="str">
        <f aca="false">IF(AND(B126=1,C126="Question"),ROW(),"")</f>
        <v/>
      </c>
    </row>
    <row r="127" customFormat="false" ht="15" hidden="false" customHeight="false" outlineLevel="0" collapsed="false">
      <c r="A127" s="0" t="s">
        <v>397</v>
      </c>
      <c r="B127" s="0" t="n">
        <f aca="false">IFERROR(IF(AND($W$3=1,$D$3&lt;&gt;"Duties &amp; taxes"),1,0),0)</f>
        <v>0</v>
      </c>
      <c r="C127" s="0" t="str">
        <f aca="false">"Risk"</f>
        <v>Risk</v>
      </c>
      <c r="D127" s="0" t="n">
        <f aca="false">IF(C127="Error",1,IF(C127="Question",2,3))</f>
        <v>3</v>
      </c>
      <c r="E127" s="0" t="str">
        <f aca="false">IF(B127=1,"Line 2: "&amp;$B$3,"")</f>
        <v/>
      </c>
      <c r="F127" s="0" t="str">
        <f aca="false">IF(B127=1,IF($F$3="TBC","Amount to be confirmed","Charged at cost - amount not quoted"),"")</f>
        <v/>
      </c>
      <c r="G127" s="0" t="str">
        <f aca="false">IF(B127=1,"The final cost is unknown until invoiced.","")</f>
        <v/>
      </c>
      <c r="H127" s="0" t="str">
        <f aca="false">IF(B127=1,"Ask for an indicative amount; tell the client it may be added.","")</f>
        <v/>
      </c>
      <c r="I127" s="0" t="str">
        <f aca="false">IF(B127=1,"","")</f>
        <v/>
      </c>
      <c r="J127" s="0" t="str">
        <f aca="false">IF(B127=1,D127*1000+ROW(),"")</f>
        <v/>
      </c>
      <c r="K127" s="0" t="str">
        <f aca="false">IF(AND(B127=1,C127="Question"),ROW(),"")</f>
        <v/>
      </c>
    </row>
    <row r="128" customFormat="false" ht="15" hidden="false" customHeight="false" outlineLevel="0" collapsed="false">
      <c r="A128" s="0" t="s">
        <v>398</v>
      </c>
      <c r="B128" s="0" t="n">
        <f aca="false">IFERROR(IF(LEFT($Q$4,5)="Error",1,0),0)</f>
        <v>0</v>
      </c>
      <c r="C128" s="0" t="str">
        <f aca="false">"Error"</f>
        <v>Error</v>
      </c>
      <c r="D128" s="0" t="n">
        <f aca="false">IF(C128="Error",1,IF(C128="Question",2,3))</f>
        <v>1</v>
      </c>
      <c r="E128" s="0" t="str">
        <f aca="false">IF(B128=1,"Line 3: "&amp;$B$4,"")</f>
        <v/>
      </c>
      <c r="F128" s="0" t="str">
        <f aca="false">IF(B128=1,"Line amount does not reconcile","")</f>
        <v/>
      </c>
      <c r="G128" s="0" t="str">
        <f aca="false">IF(B128=1,"Forwarder shows "&amp;TEXT($P$4,"#,##0.00")&amp;" vs calculated "&amp;TEXT($L$4,"#,##0.00")&amp;IF($Y$4&gt;0," before tax / "&amp;TEXT($M$4,"#,##0.00")&amp;" incl. tax","")&amp;" "&amp;$I$4,"")</f>
        <v/>
      </c>
      <c r="H128" s="0" t="str">
        <f aca="false">IF(B128=1,"Ask the forwarder to correct the amount or explain the difference.","")</f>
        <v/>
      </c>
      <c r="I128" s="0" t="str">
        <f aca="false">IF(B128=1,IF(ISNUMBER($J$4),ROUND($R$4*$J$4,2),""),"")</f>
        <v/>
      </c>
      <c r="J128" s="0" t="str">
        <f aca="false">IF(B128=1,D128*1000+ROW(),"")</f>
        <v/>
      </c>
      <c r="K128" s="0" t="str">
        <f aca="false">IF(AND(B128=1,C128="Question"),ROW(),"")</f>
        <v/>
      </c>
    </row>
    <row r="129" customFormat="false" ht="15" hidden="false" customHeight="false" outlineLevel="0" collapsed="false">
      <c r="A129" s="0" t="s">
        <v>399</v>
      </c>
      <c r="B129" s="0" t="n">
        <f aca="false">IFERROR(IF($S$4&gt;0,1,0),0)</f>
        <v>0</v>
      </c>
      <c r="C129" s="0" t="str">
        <f aca="false">"Error"</f>
        <v>Error</v>
      </c>
      <c r="D129" s="0" t="n">
        <f aca="false">IF(C129="Error",1,IF(C129="Question",2,3))</f>
        <v>1</v>
      </c>
      <c r="E129" s="0" t="str">
        <f aca="false">IF(B129=1,"Line 3: "&amp;$B$4,"")</f>
        <v/>
      </c>
      <c r="F129" s="0" t="str">
        <f aca="false">IF(B129=1,"Rate above the agreed rate","")</f>
        <v/>
      </c>
      <c r="G129" s="0" t="str">
        <f aca="false">IF(B129=1,"Quoted "&amp;TEXT($H$4,"#,##0.00##")&amp;" vs agreed "&amp;TEXT(Audit!$M$56,"#,##0.00##")&amp;" "&amp;Audit!$D$56,"")</f>
        <v/>
      </c>
      <c r="H129" s="0" t="str">
        <f aca="false">IF(B129=1,"Ask the forwarder to apply the agreed rate.","")</f>
        <v/>
      </c>
      <c r="I129" s="0" t="str">
        <f aca="false">IF(B129=1,$S$4,"")</f>
        <v/>
      </c>
      <c r="J129" s="0" t="str">
        <f aca="false">IF(B129=1,D129*1000+ROW(),"")</f>
        <v/>
      </c>
      <c r="K129" s="0" t="str">
        <f aca="false">IF(AND(B129=1,C129="Question"),ROW(),"")</f>
        <v/>
      </c>
    </row>
    <row r="130" customFormat="false" ht="15" hidden="false" customHeight="false" outlineLevel="0" collapsed="false">
      <c r="A130" s="0" t="s">
        <v>400</v>
      </c>
      <c r="B130" s="0" t="n">
        <f aca="false">IFERROR(IF($X$4&lt;&gt;"",1,0),0)</f>
        <v>0</v>
      </c>
      <c r="C130" s="0" t="str">
        <f aca="false">"Question"</f>
        <v>Question</v>
      </c>
      <c r="D130" s="0" t="n">
        <f aca="false">IF(C130="Error",1,IF(C130="Question",2,3))</f>
        <v>2</v>
      </c>
      <c r="E130" s="0" t="str">
        <f aca="false">IF(B130=1,"Line 3: "&amp;$B$4,"")</f>
        <v/>
      </c>
      <c r="F130" s="0" t="str">
        <f aca="false">IF(B130=1,IF($X$4="flag",INDEX(Lists!$B$21:$B$25,MATCH($T$4,Lists!$A$21:$A$25,0)),IF($X$4="status","Status missing",IF($X$4="basis","Charging unit not stated",IF($X$4="rate","Rate missing",IF($X$4="base","Base amount not stated",IF($X$4="unclass","Charge not explained",IF($X$4="dup","Possible duplicate (same name, same service)","Charge not in the rate agreement"))))))),"")</f>
        <v/>
      </c>
      <c r="G130" s="0" t="str">
        <f aca="false">IF(B130=1,IF($X$4="flag",IF(Audit!$O$56&lt;&gt;"",Audit!$O$56,INDEX(Lists!$C$21:$C$25,MATCH($T$4,Lists!$A$21:$A$25,0))),IF($X$4="status","No status entered for this line.",IF($X$4="basis","The quotation does not say per what unit this is charged.",IF($X$4="rate","No rate entered for a firm or estimated charge.",IF($X$4="base","A percentage charge needs the amount it is calculated on.",IF($X$4="unclass","The charge does not fit a standard category or its purpose is unclear.",IF($X$4="dup","The same charge name appears more than once in the same service.","A rate agreement was provided but has no rate for this charge."))))))),"")</f>
        <v/>
      </c>
      <c r="H130" s="0" t="str">
        <f aca="false">IF(B130=1,IF($X$4="flag",INDEX(Lists!$E$21:$E$25,MATCH($T$4,Lists!$A$21:$A$25,0)),IF($X$4="status","Set the line status.",IF($X$4="basis","Ask the forwarder for the charging unit (per container, per B/L, per CBM...).",IF($X$4="rate","Enter the rate, or set the status to At cost / TBC.",IF($X$4="base","Ask the forwarder for the base amount (e.g. customs value).",IF($X$4="unclass","Ask the forwarder what this charge covers.",IF($X$4="dup","Ask whether both lines are needed; remove the duplicate.","Ask why the charge is not in the agreement; check the contract."))))))),"")</f>
        <v/>
      </c>
      <c r="I130" s="0" t="str">
        <f aca="false">IF(B130=1,IF(OR($X$4="dup",AND($X$4="flag",IFERROR(INDEX(Lists!$G$21:$G$25,MATCH($T$4,Lists!$A$21:$A$25,0)),0)=1)),IF(ISNUMBER($N$4),$N$4,""),""),"")</f>
        <v/>
      </c>
      <c r="J130" s="0" t="str">
        <f aca="false">IF(B130=1,D130*1000+ROW(),"")</f>
        <v/>
      </c>
      <c r="K130" s="0" t="str">
        <f aca="false">IF(AND(B130=1,C130="Question"),ROW(),"")</f>
        <v/>
      </c>
    </row>
    <row r="131" customFormat="false" ht="15" hidden="false" customHeight="false" outlineLevel="0" collapsed="false">
      <c r="A131" s="0" t="s">
        <v>401</v>
      </c>
      <c r="B131" s="0" t="n">
        <f aca="false">IFERROR(IF(AND($W$4=1,$D$4&lt;&gt;"Duties &amp; taxes"),1,0),0)</f>
        <v>0</v>
      </c>
      <c r="C131" s="0" t="str">
        <f aca="false">"Risk"</f>
        <v>Risk</v>
      </c>
      <c r="D131" s="0" t="n">
        <f aca="false">IF(C131="Error",1,IF(C131="Question",2,3))</f>
        <v>3</v>
      </c>
      <c r="E131" s="0" t="str">
        <f aca="false">IF(B131=1,"Line 3: "&amp;$B$4,"")</f>
        <v/>
      </c>
      <c r="F131" s="0" t="str">
        <f aca="false">IF(B131=1,IF($F$4="TBC","Amount to be confirmed","Charged at cost - amount not quoted"),"")</f>
        <v/>
      </c>
      <c r="G131" s="0" t="str">
        <f aca="false">IF(B131=1,"The final cost is unknown until invoiced.","")</f>
        <v/>
      </c>
      <c r="H131" s="0" t="str">
        <f aca="false">IF(B131=1,"Ask for an indicative amount; tell the client it may be added.","")</f>
        <v/>
      </c>
      <c r="I131" s="0" t="str">
        <f aca="false">IF(B131=1,"","")</f>
        <v/>
      </c>
      <c r="J131" s="0" t="str">
        <f aca="false">IF(B131=1,D131*1000+ROW(),"")</f>
        <v/>
      </c>
      <c r="K131" s="0" t="str">
        <f aca="false">IF(AND(B131=1,C131="Question"),ROW(),"")</f>
        <v/>
      </c>
    </row>
    <row r="132" customFormat="false" ht="15" hidden="false" customHeight="false" outlineLevel="0" collapsed="false">
      <c r="A132" s="0" t="s">
        <v>402</v>
      </c>
      <c r="B132" s="0" t="n">
        <f aca="false">IFERROR(IF(LEFT($Q$5,5)="Error",1,0),0)</f>
        <v>0</v>
      </c>
      <c r="C132" s="0" t="str">
        <f aca="false">"Error"</f>
        <v>Error</v>
      </c>
      <c r="D132" s="0" t="n">
        <f aca="false">IF(C132="Error",1,IF(C132="Question",2,3))</f>
        <v>1</v>
      </c>
      <c r="E132" s="0" t="str">
        <f aca="false">IF(B132=1,"Line 4: "&amp;$B$5,"")</f>
        <v/>
      </c>
      <c r="F132" s="0" t="str">
        <f aca="false">IF(B132=1,"Line amount does not reconcile","")</f>
        <v/>
      </c>
      <c r="G132" s="0" t="str">
        <f aca="false">IF(B132=1,"Forwarder shows "&amp;TEXT($P$5,"#,##0.00")&amp;" vs calculated "&amp;TEXT($L$5,"#,##0.00")&amp;IF($Y$5&gt;0," before tax / "&amp;TEXT($M$5,"#,##0.00")&amp;" incl. tax","")&amp;" "&amp;$I$5,"")</f>
        <v/>
      </c>
      <c r="H132" s="0" t="str">
        <f aca="false">IF(B132=1,"Ask the forwarder to correct the amount or explain the difference.","")</f>
        <v/>
      </c>
      <c r="I132" s="0" t="str">
        <f aca="false">IF(B132=1,IF(ISNUMBER($J$5),ROUND($R$5*$J$5,2),""),"")</f>
        <v/>
      </c>
      <c r="J132" s="0" t="str">
        <f aca="false">IF(B132=1,D132*1000+ROW(),"")</f>
        <v/>
      </c>
      <c r="K132" s="0" t="str">
        <f aca="false">IF(AND(B132=1,C132="Question"),ROW(),"")</f>
        <v/>
      </c>
    </row>
    <row r="133" customFormat="false" ht="15" hidden="false" customHeight="false" outlineLevel="0" collapsed="false">
      <c r="A133" s="0" t="s">
        <v>403</v>
      </c>
      <c r="B133" s="0" t="n">
        <f aca="false">IFERROR(IF($S$5&gt;0,1,0),0)</f>
        <v>0</v>
      </c>
      <c r="C133" s="0" t="str">
        <f aca="false">"Error"</f>
        <v>Error</v>
      </c>
      <c r="D133" s="0" t="n">
        <f aca="false">IF(C133="Error",1,IF(C133="Question",2,3))</f>
        <v>1</v>
      </c>
      <c r="E133" s="0" t="str">
        <f aca="false">IF(B133=1,"Line 4: "&amp;$B$5,"")</f>
        <v/>
      </c>
      <c r="F133" s="0" t="str">
        <f aca="false">IF(B133=1,"Rate above the agreed rate","")</f>
        <v/>
      </c>
      <c r="G133" s="0" t="str">
        <f aca="false">IF(B133=1,"Quoted "&amp;TEXT($H$5,"#,##0.00##")&amp;" vs agreed "&amp;TEXT(Audit!$M$57,"#,##0.00##")&amp;" "&amp;Audit!$D$57,"")</f>
        <v/>
      </c>
      <c r="H133" s="0" t="str">
        <f aca="false">IF(B133=1,"Ask the forwarder to apply the agreed rate.","")</f>
        <v/>
      </c>
      <c r="I133" s="0" t="str">
        <f aca="false">IF(B133=1,$S$5,"")</f>
        <v/>
      </c>
      <c r="J133" s="0" t="str">
        <f aca="false">IF(B133=1,D133*1000+ROW(),"")</f>
        <v/>
      </c>
      <c r="K133" s="0" t="str">
        <f aca="false">IF(AND(B133=1,C133="Question"),ROW(),"")</f>
        <v/>
      </c>
    </row>
    <row r="134" customFormat="false" ht="15" hidden="false" customHeight="false" outlineLevel="0" collapsed="false">
      <c r="A134" s="0" t="s">
        <v>404</v>
      </c>
      <c r="B134" s="0" t="n">
        <f aca="false">IFERROR(IF($X$5&lt;&gt;"",1,0),0)</f>
        <v>0</v>
      </c>
      <c r="C134" s="0" t="str">
        <f aca="false">"Question"</f>
        <v>Question</v>
      </c>
      <c r="D134" s="0" t="n">
        <f aca="false">IF(C134="Error",1,IF(C134="Question",2,3))</f>
        <v>2</v>
      </c>
      <c r="E134" s="0" t="str">
        <f aca="false">IF(B134=1,"Line 4: "&amp;$B$5,"")</f>
        <v/>
      </c>
      <c r="F134" s="0" t="str">
        <f aca="false">IF(B134=1,IF($X$5="flag",INDEX(Lists!$B$21:$B$25,MATCH($T$5,Lists!$A$21:$A$25,0)),IF($X$5="status","Status missing",IF($X$5="basis","Charging unit not stated",IF($X$5="rate","Rate missing",IF($X$5="base","Base amount not stated",IF($X$5="unclass","Charge not explained",IF($X$5="dup","Possible duplicate (same name, same service)","Charge not in the rate agreement"))))))),"")</f>
        <v/>
      </c>
      <c r="G134" s="0" t="str">
        <f aca="false">IF(B134=1,IF($X$5="flag",IF(Audit!$O$57&lt;&gt;"",Audit!$O$57,INDEX(Lists!$C$21:$C$25,MATCH($T$5,Lists!$A$21:$A$25,0))),IF($X$5="status","No status entered for this line.",IF($X$5="basis","The quotation does not say per what unit this is charged.",IF($X$5="rate","No rate entered for a firm or estimated charge.",IF($X$5="base","A percentage charge needs the amount it is calculated on.",IF($X$5="unclass","The charge does not fit a standard category or its purpose is unclear.",IF($X$5="dup","The same charge name appears more than once in the same service.","A rate agreement was provided but has no rate for this charge."))))))),"")</f>
        <v/>
      </c>
      <c r="H134" s="0" t="str">
        <f aca="false">IF(B134=1,IF($X$5="flag",INDEX(Lists!$E$21:$E$25,MATCH($T$5,Lists!$A$21:$A$25,0)),IF($X$5="status","Set the line status.",IF($X$5="basis","Ask the forwarder for the charging unit (per container, per B/L, per CBM...).",IF($X$5="rate","Enter the rate, or set the status to At cost / TBC.",IF($X$5="base","Ask the forwarder for the base amount (e.g. customs value).",IF($X$5="unclass","Ask the forwarder what this charge covers.",IF($X$5="dup","Ask whether both lines are needed; remove the duplicate.","Ask why the charge is not in the agreement; check the contract."))))))),"")</f>
        <v/>
      </c>
      <c r="I134" s="0" t="str">
        <f aca="false">IF(B134=1,IF(OR($X$5="dup",AND($X$5="flag",IFERROR(INDEX(Lists!$G$21:$G$25,MATCH($T$5,Lists!$A$21:$A$25,0)),0)=1)),IF(ISNUMBER($N$5),$N$5,""),""),"")</f>
        <v/>
      </c>
      <c r="J134" s="0" t="str">
        <f aca="false">IF(B134=1,D134*1000+ROW(),"")</f>
        <v/>
      </c>
      <c r="K134" s="0" t="str">
        <f aca="false">IF(AND(B134=1,C134="Question"),ROW(),"")</f>
        <v/>
      </c>
    </row>
    <row r="135" customFormat="false" ht="15" hidden="false" customHeight="false" outlineLevel="0" collapsed="false">
      <c r="A135" s="0" t="s">
        <v>405</v>
      </c>
      <c r="B135" s="0" t="n">
        <f aca="false">IFERROR(IF(AND($W$5=1,$D$5&lt;&gt;"Duties &amp; taxes"),1,0),0)</f>
        <v>0</v>
      </c>
      <c r="C135" s="0" t="str">
        <f aca="false">"Risk"</f>
        <v>Risk</v>
      </c>
      <c r="D135" s="0" t="n">
        <f aca="false">IF(C135="Error",1,IF(C135="Question",2,3))</f>
        <v>3</v>
      </c>
      <c r="E135" s="0" t="str">
        <f aca="false">IF(B135=1,"Line 4: "&amp;$B$5,"")</f>
        <v/>
      </c>
      <c r="F135" s="0" t="str">
        <f aca="false">IF(B135=1,IF($F$5="TBC","Amount to be confirmed","Charged at cost - amount not quoted"),"")</f>
        <v/>
      </c>
      <c r="G135" s="0" t="str">
        <f aca="false">IF(B135=1,"The final cost is unknown until invoiced.","")</f>
        <v/>
      </c>
      <c r="H135" s="0" t="str">
        <f aca="false">IF(B135=1,"Ask for an indicative amount; tell the client it may be added.","")</f>
        <v/>
      </c>
      <c r="I135" s="0" t="str">
        <f aca="false">IF(B135=1,"","")</f>
        <v/>
      </c>
      <c r="J135" s="0" t="str">
        <f aca="false">IF(B135=1,D135*1000+ROW(),"")</f>
        <v/>
      </c>
      <c r="K135" s="0" t="str">
        <f aca="false">IF(AND(B135=1,C135="Question"),ROW(),"")</f>
        <v/>
      </c>
    </row>
    <row r="136" customFormat="false" ht="15" hidden="false" customHeight="false" outlineLevel="0" collapsed="false">
      <c r="A136" s="0" t="s">
        <v>406</v>
      </c>
      <c r="B136" s="0" t="n">
        <f aca="false">IFERROR(IF(LEFT($Q$6,5)="Error",1,0),0)</f>
        <v>0</v>
      </c>
      <c r="C136" s="0" t="str">
        <f aca="false">"Error"</f>
        <v>Error</v>
      </c>
      <c r="D136" s="0" t="n">
        <f aca="false">IF(C136="Error",1,IF(C136="Question",2,3))</f>
        <v>1</v>
      </c>
      <c r="E136" s="0" t="str">
        <f aca="false">IF(B136=1,"Line 5: "&amp;$B$6,"")</f>
        <v/>
      </c>
      <c r="F136" s="0" t="str">
        <f aca="false">IF(B136=1,"Line amount does not reconcile","")</f>
        <v/>
      </c>
      <c r="G136" s="0" t="str">
        <f aca="false">IF(B136=1,"Forwarder shows "&amp;TEXT($P$6,"#,##0.00")&amp;" vs calculated "&amp;TEXT($L$6,"#,##0.00")&amp;IF($Y$6&gt;0," before tax / "&amp;TEXT($M$6,"#,##0.00")&amp;" incl. tax","")&amp;" "&amp;$I$6,"")</f>
        <v/>
      </c>
      <c r="H136" s="0" t="str">
        <f aca="false">IF(B136=1,"Ask the forwarder to correct the amount or explain the difference.","")</f>
        <v/>
      </c>
      <c r="I136" s="0" t="str">
        <f aca="false">IF(B136=1,IF(ISNUMBER($J$6),ROUND($R$6*$J$6,2),""),"")</f>
        <v/>
      </c>
      <c r="J136" s="0" t="str">
        <f aca="false">IF(B136=1,D136*1000+ROW(),"")</f>
        <v/>
      </c>
      <c r="K136" s="0" t="str">
        <f aca="false">IF(AND(B136=1,C136="Question"),ROW(),"")</f>
        <v/>
      </c>
    </row>
    <row r="137" customFormat="false" ht="15" hidden="false" customHeight="false" outlineLevel="0" collapsed="false">
      <c r="A137" s="0" t="s">
        <v>407</v>
      </c>
      <c r="B137" s="0" t="n">
        <f aca="false">IFERROR(IF($S$6&gt;0,1,0),0)</f>
        <v>0</v>
      </c>
      <c r="C137" s="0" t="str">
        <f aca="false">"Error"</f>
        <v>Error</v>
      </c>
      <c r="D137" s="0" t="n">
        <f aca="false">IF(C137="Error",1,IF(C137="Question",2,3))</f>
        <v>1</v>
      </c>
      <c r="E137" s="0" t="str">
        <f aca="false">IF(B137=1,"Line 5: "&amp;$B$6,"")</f>
        <v/>
      </c>
      <c r="F137" s="0" t="str">
        <f aca="false">IF(B137=1,"Rate above the agreed rate","")</f>
        <v/>
      </c>
      <c r="G137" s="0" t="str">
        <f aca="false">IF(B137=1,"Quoted "&amp;TEXT($H$6,"#,##0.00##")&amp;" vs agreed "&amp;TEXT(Audit!$M$58,"#,##0.00##")&amp;" "&amp;Audit!$D$58,"")</f>
        <v/>
      </c>
      <c r="H137" s="0" t="str">
        <f aca="false">IF(B137=1,"Ask the forwarder to apply the agreed rate.","")</f>
        <v/>
      </c>
      <c r="I137" s="0" t="str">
        <f aca="false">IF(B137=1,$S$6,"")</f>
        <v/>
      </c>
      <c r="J137" s="0" t="str">
        <f aca="false">IF(B137=1,D137*1000+ROW(),"")</f>
        <v/>
      </c>
      <c r="K137" s="0" t="str">
        <f aca="false">IF(AND(B137=1,C137="Question"),ROW(),"")</f>
        <v/>
      </c>
    </row>
    <row r="138" customFormat="false" ht="15" hidden="false" customHeight="false" outlineLevel="0" collapsed="false">
      <c r="A138" s="0" t="s">
        <v>408</v>
      </c>
      <c r="B138" s="0" t="n">
        <f aca="false">IFERROR(IF($X$6&lt;&gt;"",1,0),0)</f>
        <v>0</v>
      </c>
      <c r="C138" s="0" t="str">
        <f aca="false">"Question"</f>
        <v>Question</v>
      </c>
      <c r="D138" s="0" t="n">
        <f aca="false">IF(C138="Error",1,IF(C138="Question",2,3))</f>
        <v>2</v>
      </c>
      <c r="E138" s="0" t="str">
        <f aca="false">IF(B138=1,"Line 5: "&amp;$B$6,"")</f>
        <v/>
      </c>
      <c r="F138" s="0" t="str">
        <f aca="false">IF(B138=1,IF($X$6="flag",INDEX(Lists!$B$21:$B$25,MATCH($T$6,Lists!$A$21:$A$25,0)),IF($X$6="status","Status missing",IF($X$6="basis","Charging unit not stated",IF($X$6="rate","Rate missing",IF($X$6="base","Base amount not stated",IF($X$6="unclass","Charge not explained",IF($X$6="dup","Possible duplicate (same name, same service)","Charge not in the rate agreement"))))))),"")</f>
        <v/>
      </c>
      <c r="G138" s="0" t="str">
        <f aca="false">IF(B138=1,IF($X$6="flag",IF(Audit!$O$58&lt;&gt;"",Audit!$O$58,INDEX(Lists!$C$21:$C$25,MATCH($T$6,Lists!$A$21:$A$25,0))),IF($X$6="status","No status entered for this line.",IF($X$6="basis","The quotation does not say per what unit this is charged.",IF($X$6="rate","No rate entered for a firm or estimated charge.",IF($X$6="base","A percentage charge needs the amount it is calculated on.",IF($X$6="unclass","The charge does not fit a standard category or its purpose is unclear.",IF($X$6="dup","The same charge name appears more than once in the same service.","A rate agreement was provided but has no rate for this charge."))))))),"")</f>
        <v/>
      </c>
      <c r="H138" s="0" t="str">
        <f aca="false">IF(B138=1,IF($X$6="flag",INDEX(Lists!$E$21:$E$25,MATCH($T$6,Lists!$A$21:$A$25,0)),IF($X$6="status","Set the line status.",IF($X$6="basis","Ask the forwarder for the charging unit (per container, per B/L, per CBM...).",IF($X$6="rate","Enter the rate, or set the status to At cost / TBC.",IF($X$6="base","Ask the forwarder for the base amount (e.g. customs value).",IF($X$6="unclass","Ask the forwarder what this charge covers.",IF($X$6="dup","Ask whether both lines are needed; remove the duplicate.","Ask why the charge is not in the agreement; check the contract."))))))),"")</f>
        <v/>
      </c>
      <c r="I138" s="0" t="str">
        <f aca="false">IF(B138=1,IF(OR($X$6="dup",AND($X$6="flag",IFERROR(INDEX(Lists!$G$21:$G$25,MATCH($T$6,Lists!$A$21:$A$25,0)),0)=1)),IF(ISNUMBER($N$6),$N$6,""),""),"")</f>
        <v/>
      </c>
      <c r="J138" s="0" t="str">
        <f aca="false">IF(B138=1,D138*1000+ROW(),"")</f>
        <v/>
      </c>
      <c r="K138" s="0" t="str">
        <f aca="false">IF(AND(B138=1,C138="Question"),ROW(),"")</f>
        <v/>
      </c>
    </row>
    <row r="139" customFormat="false" ht="15" hidden="false" customHeight="false" outlineLevel="0" collapsed="false">
      <c r="A139" s="0" t="s">
        <v>409</v>
      </c>
      <c r="B139" s="0" t="n">
        <f aca="false">IFERROR(IF(AND($W$6=1,$D$6&lt;&gt;"Duties &amp; taxes"),1,0),0)</f>
        <v>0</v>
      </c>
      <c r="C139" s="0" t="str">
        <f aca="false">"Risk"</f>
        <v>Risk</v>
      </c>
      <c r="D139" s="0" t="n">
        <f aca="false">IF(C139="Error",1,IF(C139="Question",2,3))</f>
        <v>3</v>
      </c>
      <c r="E139" s="0" t="str">
        <f aca="false">IF(B139=1,"Line 5: "&amp;$B$6,"")</f>
        <v/>
      </c>
      <c r="F139" s="0" t="str">
        <f aca="false">IF(B139=1,IF($F$6="TBC","Amount to be confirmed","Charged at cost - amount not quoted"),"")</f>
        <v/>
      </c>
      <c r="G139" s="0" t="str">
        <f aca="false">IF(B139=1,"The final cost is unknown until invoiced.","")</f>
        <v/>
      </c>
      <c r="H139" s="0" t="str">
        <f aca="false">IF(B139=1,"Ask for an indicative amount; tell the client it may be added.","")</f>
        <v/>
      </c>
      <c r="I139" s="0" t="str">
        <f aca="false">IF(B139=1,"","")</f>
        <v/>
      </c>
      <c r="J139" s="0" t="str">
        <f aca="false">IF(B139=1,D139*1000+ROW(),"")</f>
        <v/>
      </c>
      <c r="K139" s="0" t="str">
        <f aca="false">IF(AND(B139=1,C139="Question"),ROW(),"")</f>
        <v/>
      </c>
    </row>
    <row r="140" customFormat="false" ht="15" hidden="false" customHeight="false" outlineLevel="0" collapsed="false">
      <c r="A140" s="0" t="s">
        <v>410</v>
      </c>
      <c r="B140" s="0" t="n">
        <f aca="false">IFERROR(IF(LEFT($Q$7,5)="Error",1,0),0)</f>
        <v>0</v>
      </c>
      <c r="C140" s="0" t="str">
        <f aca="false">"Error"</f>
        <v>Error</v>
      </c>
      <c r="D140" s="0" t="n">
        <f aca="false">IF(C140="Error",1,IF(C140="Question",2,3))</f>
        <v>1</v>
      </c>
      <c r="E140" s="0" t="str">
        <f aca="false">IF(B140=1,"Line 6: "&amp;$B$7,"")</f>
        <v/>
      </c>
      <c r="F140" s="0" t="str">
        <f aca="false">IF(B140=1,"Line amount does not reconcile","")</f>
        <v/>
      </c>
      <c r="G140" s="0" t="str">
        <f aca="false">IF(B140=1,"Forwarder shows "&amp;TEXT($P$7,"#,##0.00")&amp;" vs calculated "&amp;TEXT($L$7,"#,##0.00")&amp;IF($Y$7&gt;0," before tax / "&amp;TEXT($M$7,"#,##0.00")&amp;" incl. tax","")&amp;" "&amp;$I$7,"")</f>
        <v/>
      </c>
      <c r="H140" s="0" t="str">
        <f aca="false">IF(B140=1,"Ask the forwarder to correct the amount or explain the difference.","")</f>
        <v/>
      </c>
      <c r="I140" s="0" t="str">
        <f aca="false">IF(B140=1,IF(ISNUMBER($J$7),ROUND($R$7*$J$7,2),""),"")</f>
        <v/>
      </c>
      <c r="J140" s="0" t="str">
        <f aca="false">IF(B140=1,D140*1000+ROW(),"")</f>
        <v/>
      </c>
      <c r="K140" s="0" t="str">
        <f aca="false">IF(AND(B140=1,C140="Question"),ROW(),"")</f>
        <v/>
      </c>
    </row>
    <row r="141" customFormat="false" ht="15" hidden="false" customHeight="false" outlineLevel="0" collapsed="false">
      <c r="A141" s="0" t="s">
        <v>411</v>
      </c>
      <c r="B141" s="0" t="n">
        <f aca="false">IFERROR(IF($S$7&gt;0,1,0),0)</f>
        <v>0</v>
      </c>
      <c r="C141" s="0" t="str">
        <f aca="false">"Error"</f>
        <v>Error</v>
      </c>
      <c r="D141" s="0" t="n">
        <f aca="false">IF(C141="Error",1,IF(C141="Question",2,3))</f>
        <v>1</v>
      </c>
      <c r="E141" s="0" t="str">
        <f aca="false">IF(B141=1,"Line 6: "&amp;$B$7,"")</f>
        <v/>
      </c>
      <c r="F141" s="0" t="str">
        <f aca="false">IF(B141=1,"Rate above the agreed rate","")</f>
        <v/>
      </c>
      <c r="G141" s="0" t="str">
        <f aca="false">IF(B141=1,"Quoted "&amp;TEXT($H$7,"#,##0.00##")&amp;" vs agreed "&amp;TEXT(Audit!$M$59,"#,##0.00##")&amp;" "&amp;Audit!$D$59,"")</f>
        <v/>
      </c>
      <c r="H141" s="0" t="str">
        <f aca="false">IF(B141=1,"Ask the forwarder to apply the agreed rate.","")</f>
        <v/>
      </c>
      <c r="I141" s="0" t="str">
        <f aca="false">IF(B141=1,$S$7,"")</f>
        <v/>
      </c>
      <c r="J141" s="0" t="str">
        <f aca="false">IF(B141=1,D141*1000+ROW(),"")</f>
        <v/>
      </c>
      <c r="K141" s="0" t="str">
        <f aca="false">IF(AND(B141=1,C141="Question"),ROW(),"")</f>
        <v/>
      </c>
    </row>
    <row r="142" customFormat="false" ht="15" hidden="false" customHeight="false" outlineLevel="0" collapsed="false">
      <c r="A142" s="0" t="s">
        <v>412</v>
      </c>
      <c r="B142" s="0" t="n">
        <f aca="false">IFERROR(IF($X$7&lt;&gt;"",1,0),0)</f>
        <v>0</v>
      </c>
      <c r="C142" s="0" t="str">
        <f aca="false">"Question"</f>
        <v>Question</v>
      </c>
      <c r="D142" s="0" t="n">
        <f aca="false">IF(C142="Error",1,IF(C142="Question",2,3))</f>
        <v>2</v>
      </c>
      <c r="E142" s="0" t="str">
        <f aca="false">IF(B142=1,"Line 6: "&amp;$B$7,"")</f>
        <v/>
      </c>
      <c r="F142" s="0" t="str">
        <f aca="false">IF(B142=1,IF($X$7="flag",INDEX(Lists!$B$21:$B$25,MATCH($T$7,Lists!$A$21:$A$25,0)),IF($X$7="status","Status missing",IF($X$7="basis","Charging unit not stated",IF($X$7="rate","Rate missing",IF($X$7="base","Base amount not stated",IF($X$7="unclass","Charge not explained",IF($X$7="dup","Possible duplicate (same name, same service)","Charge not in the rate agreement"))))))),"")</f>
        <v/>
      </c>
      <c r="G142" s="0" t="str">
        <f aca="false">IF(B142=1,IF($X$7="flag",IF(Audit!$O$59&lt;&gt;"",Audit!$O$59,INDEX(Lists!$C$21:$C$25,MATCH($T$7,Lists!$A$21:$A$25,0))),IF($X$7="status","No status entered for this line.",IF($X$7="basis","The quotation does not say per what unit this is charged.",IF($X$7="rate","No rate entered for a firm or estimated charge.",IF($X$7="base","A percentage charge needs the amount it is calculated on.",IF($X$7="unclass","The charge does not fit a standard category or its purpose is unclear.",IF($X$7="dup","The same charge name appears more than once in the same service.","A rate agreement was provided but has no rate for this charge."))))))),"")</f>
        <v/>
      </c>
      <c r="H142" s="0" t="str">
        <f aca="false">IF(B142=1,IF($X$7="flag",INDEX(Lists!$E$21:$E$25,MATCH($T$7,Lists!$A$21:$A$25,0)),IF($X$7="status","Set the line status.",IF($X$7="basis","Ask the forwarder for the charging unit (per container, per B/L, per CBM...).",IF($X$7="rate","Enter the rate, or set the status to At cost / TBC.",IF($X$7="base","Ask the forwarder for the base amount (e.g. customs value).",IF($X$7="unclass","Ask the forwarder what this charge covers.",IF($X$7="dup","Ask whether both lines are needed; remove the duplicate.","Ask why the charge is not in the agreement; check the contract."))))))),"")</f>
        <v/>
      </c>
      <c r="I142" s="0" t="str">
        <f aca="false">IF(B142=1,IF(OR($X$7="dup",AND($X$7="flag",IFERROR(INDEX(Lists!$G$21:$G$25,MATCH($T$7,Lists!$A$21:$A$25,0)),0)=1)),IF(ISNUMBER($N$7),$N$7,""),""),"")</f>
        <v/>
      </c>
      <c r="J142" s="0" t="str">
        <f aca="false">IF(B142=1,D142*1000+ROW(),"")</f>
        <v/>
      </c>
      <c r="K142" s="0" t="str">
        <f aca="false">IF(AND(B142=1,C142="Question"),ROW(),"")</f>
        <v/>
      </c>
    </row>
    <row r="143" customFormat="false" ht="15" hidden="false" customHeight="false" outlineLevel="0" collapsed="false">
      <c r="A143" s="0" t="s">
        <v>413</v>
      </c>
      <c r="B143" s="0" t="n">
        <f aca="false">IFERROR(IF(AND($W$7=1,$D$7&lt;&gt;"Duties &amp; taxes"),1,0),0)</f>
        <v>0</v>
      </c>
      <c r="C143" s="0" t="str">
        <f aca="false">"Risk"</f>
        <v>Risk</v>
      </c>
      <c r="D143" s="0" t="n">
        <f aca="false">IF(C143="Error",1,IF(C143="Question",2,3))</f>
        <v>3</v>
      </c>
      <c r="E143" s="0" t="str">
        <f aca="false">IF(B143=1,"Line 6: "&amp;$B$7,"")</f>
        <v/>
      </c>
      <c r="F143" s="0" t="str">
        <f aca="false">IF(B143=1,IF($F$7="TBC","Amount to be confirmed","Charged at cost - amount not quoted"),"")</f>
        <v/>
      </c>
      <c r="G143" s="0" t="str">
        <f aca="false">IF(B143=1,"The final cost is unknown until invoiced.","")</f>
        <v/>
      </c>
      <c r="H143" s="0" t="str">
        <f aca="false">IF(B143=1,"Ask for an indicative amount; tell the client it may be added.","")</f>
        <v/>
      </c>
      <c r="I143" s="0" t="str">
        <f aca="false">IF(B143=1,"","")</f>
        <v/>
      </c>
      <c r="J143" s="0" t="str">
        <f aca="false">IF(B143=1,D143*1000+ROW(),"")</f>
        <v/>
      </c>
      <c r="K143" s="0" t="str">
        <f aca="false">IF(AND(B143=1,C143="Question"),ROW(),"")</f>
        <v/>
      </c>
    </row>
    <row r="144" customFormat="false" ht="15" hidden="false" customHeight="false" outlineLevel="0" collapsed="false">
      <c r="A144" s="0" t="s">
        <v>414</v>
      </c>
      <c r="B144" s="0" t="n">
        <f aca="false">IFERROR(IF(LEFT($Q$8,5)="Error",1,0),0)</f>
        <v>0</v>
      </c>
      <c r="C144" s="0" t="str">
        <f aca="false">"Error"</f>
        <v>Error</v>
      </c>
      <c r="D144" s="0" t="n">
        <f aca="false">IF(C144="Error",1,IF(C144="Question",2,3))</f>
        <v>1</v>
      </c>
      <c r="E144" s="0" t="str">
        <f aca="false">IF(B144=1,"Line 7: "&amp;$B$8,"")</f>
        <v/>
      </c>
      <c r="F144" s="0" t="str">
        <f aca="false">IF(B144=1,"Line amount does not reconcile","")</f>
        <v/>
      </c>
      <c r="G144" s="0" t="str">
        <f aca="false">IF(B144=1,"Forwarder shows "&amp;TEXT($P$8,"#,##0.00")&amp;" vs calculated "&amp;TEXT($L$8,"#,##0.00")&amp;IF($Y$8&gt;0," before tax / "&amp;TEXT($M$8,"#,##0.00")&amp;" incl. tax","")&amp;" "&amp;$I$8,"")</f>
        <v/>
      </c>
      <c r="H144" s="0" t="str">
        <f aca="false">IF(B144=1,"Ask the forwarder to correct the amount or explain the difference.","")</f>
        <v/>
      </c>
      <c r="I144" s="0" t="str">
        <f aca="false">IF(B144=1,IF(ISNUMBER($J$8),ROUND($R$8*$J$8,2),""),"")</f>
        <v/>
      </c>
      <c r="J144" s="0" t="str">
        <f aca="false">IF(B144=1,D144*1000+ROW(),"")</f>
        <v/>
      </c>
      <c r="K144" s="0" t="str">
        <f aca="false">IF(AND(B144=1,C144="Question"),ROW(),"")</f>
        <v/>
      </c>
    </row>
    <row r="145" customFormat="false" ht="15" hidden="false" customHeight="false" outlineLevel="0" collapsed="false">
      <c r="A145" s="0" t="s">
        <v>415</v>
      </c>
      <c r="B145" s="0" t="n">
        <f aca="false">IFERROR(IF($S$8&gt;0,1,0),0)</f>
        <v>0</v>
      </c>
      <c r="C145" s="0" t="str">
        <f aca="false">"Error"</f>
        <v>Error</v>
      </c>
      <c r="D145" s="0" t="n">
        <f aca="false">IF(C145="Error",1,IF(C145="Question",2,3))</f>
        <v>1</v>
      </c>
      <c r="E145" s="0" t="str">
        <f aca="false">IF(B145=1,"Line 7: "&amp;$B$8,"")</f>
        <v/>
      </c>
      <c r="F145" s="0" t="str">
        <f aca="false">IF(B145=1,"Rate above the agreed rate","")</f>
        <v/>
      </c>
      <c r="G145" s="0" t="str">
        <f aca="false">IF(B145=1,"Quoted "&amp;TEXT($H$8,"#,##0.00##")&amp;" vs agreed "&amp;TEXT(Audit!$M$60,"#,##0.00##")&amp;" "&amp;Audit!$D$60,"")</f>
        <v/>
      </c>
      <c r="H145" s="0" t="str">
        <f aca="false">IF(B145=1,"Ask the forwarder to apply the agreed rate.","")</f>
        <v/>
      </c>
      <c r="I145" s="0" t="str">
        <f aca="false">IF(B145=1,$S$8,"")</f>
        <v/>
      </c>
      <c r="J145" s="0" t="str">
        <f aca="false">IF(B145=1,D145*1000+ROW(),"")</f>
        <v/>
      </c>
      <c r="K145" s="0" t="str">
        <f aca="false">IF(AND(B145=1,C145="Question"),ROW(),"")</f>
        <v/>
      </c>
    </row>
    <row r="146" customFormat="false" ht="15" hidden="false" customHeight="false" outlineLevel="0" collapsed="false">
      <c r="A146" s="0" t="s">
        <v>416</v>
      </c>
      <c r="B146" s="0" t="n">
        <f aca="false">IFERROR(IF($X$8&lt;&gt;"",1,0),0)</f>
        <v>0</v>
      </c>
      <c r="C146" s="0" t="str">
        <f aca="false">"Question"</f>
        <v>Question</v>
      </c>
      <c r="D146" s="0" t="n">
        <f aca="false">IF(C146="Error",1,IF(C146="Question",2,3))</f>
        <v>2</v>
      </c>
      <c r="E146" s="0" t="str">
        <f aca="false">IF(B146=1,"Line 7: "&amp;$B$8,"")</f>
        <v/>
      </c>
      <c r="F146" s="0" t="str">
        <f aca="false">IF(B146=1,IF($X$8="flag",INDEX(Lists!$B$21:$B$25,MATCH($T$8,Lists!$A$21:$A$25,0)),IF($X$8="status","Status missing",IF($X$8="basis","Charging unit not stated",IF($X$8="rate","Rate missing",IF($X$8="base","Base amount not stated",IF($X$8="unclass","Charge not explained",IF($X$8="dup","Possible duplicate (same name, same service)","Charge not in the rate agreement"))))))),"")</f>
        <v/>
      </c>
      <c r="G146" s="0" t="str">
        <f aca="false">IF(B146=1,IF($X$8="flag",IF(Audit!$O$60&lt;&gt;"",Audit!$O$60,INDEX(Lists!$C$21:$C$25,MATCH($T$8,Lists!$A$21:$A$25,0))),IF($X$8="status","No status entered for this line.",IF($X$8="basis","The quotation does not say per what unit this is charged.",IF($X$8="rate","No rate entered for a firm or estimated charge.",IF($X$8="base","A percentage charge needs the amount it is calculated on.",IF($X$8="unclass","The charge does not fit a standard category or its purpose is unclear.",IF($X$8="dup","The same charge name appears more than once in the same service.","A rate agreement was provided but has no rate for this charge."))))))),"")</f>
        <v/>
      </c>
      <c r="H146" s="0" t="str">
        <f aca="false">IF(B146=1,IF($X$8="flag",INDEX(Lists!$E$21:$E$25,MATCH($T$8,Lists!$A$21:$A$25,0)),IF($X$8="status","Set the line status.",IF($X$8="basis","Ask the forwarder for the charging unit (per container, per B/L, per CBM...).",IF($X$8="rate","Enter the rate, or set the status to At cost / TBC.",IF($X$8="base","Ask the forwarder for the base amount (e.g. customs value).",IF($X$8="unclass","Ask the forwarder what this charge covers.",IF($X$8="dup","Ask whether both lines are needed; remove the duplicate.","Ask why the charge is not in the agreement; check the contract."))))))),"")</f>
        <v/>
      </c>
      <c r="I146" s="0" t="str">
        <f aca="false">IF(B146=1,IF(OR($X$8="dup",AND($X$8="flag",IFERROR(INDEX(Lists!$G$21:$G$25,MATCH($T$8,Lists!$A$21:$A$25,0)),0)=1)),IF(ISNUMBER($N$8),$N$8,""),""),"")</f>
        <v/>
      </c>
      <c r="J146" s="0" t="str">
        <f aca="false">IF(B146=1,D146*1000+ROW(),"")</f>
        <v/>
      </c>
      <c r="K146" s="0" t="str">
        <f aca="false">IF(AND(B146=1,C146="Question"),ROW(),"")</f>
        <v/>
      </c>
    </row>
    <row r="147" customFormat="false" ht="15" hidden="false" customHeight="false" outlineLevel="0" collapsed="false">
      <c r="A147" s="0" t="s">
        <v>417</v>
      </c>
      <c r="B147" s="0" t="n">
        <f aca="false">IFERROR(IF(AND($W$8=1,$D$8&lt;&gt;"Duties &amp; taxes"),1,0),0)</f>
        <v>0</v>
      </c>
      <c r="C147" s="0" t="str">
        <f aca="false">"Risk"</f>
        <v>Risk</v>
      </c>
      <c r="D147" s="0" t="n">
        <f aca="false">IF(C147="Error",1,IF(C147="Question",2,3))</f>
        <v>3</v>
      </c>
      <c r="E147" s="0" t="str">
        <f aca="false">IF(B147=1,"Line 7: "&amp;$B$8,"")</f>
        <v/>
      </c>
      <c r="F147" s="0" t="str">
        <f aca="false">IF(B147=1,IF($F$8="TBC","Amount to be confirmed","Charged at cost - amount not quoted"),"")</f>
        <v/>
      </c>
      <c r="G147" s="0" t="str">
        <f aca="false">IF(B147=1,"The final cost is unknown until invoiced.","")</f>
        <v/>
      </c>
      <c r="H147" s="0" t="str">
        <f aca="false">IF(B147=1,"Ask for an indicative amount; tell the client it may be added.","")</f>
        <v/>
      </c>
      <c r="I147" s="0" t="str">
        <f aca="false">IF(B147=1,"","")</f>
        <v/>
      </c>
      <c r="J147" s="0" t="str">
        <f aca="false">IF(B147=1,D147*1000+ROW(),"")</f>
        <v/>
      </c>
      <c r="K147" s="0" t="str">
        <f aca="false">IF(AND(B147=1,C147="Question"),ROW(),"")</f>
        <v/>
      </c>
    </row>
    <row r="148" customFormat="false" ht="15" hidden="false" customHeight="false" outlineLevel="0" collapsed="false">
      <c r="A148" s="0" t="s">
        <v>418</v>
      </c>
      <c r="B148" s="0" t="n">
        <f aca="false">IFERROR(IF(LEFT($Q$9,5)="Error",1,0),0)</f>
        <v>0</v>
      </c>
      <c r="C148" s="0" t="str">
        <f aca="false">"Error"</f>
        <v>Error</v>
      </c>
      <c r="D148" s="0" t="n">
        <f aca="false">IF(C148="Error",1,IF(C148="Question",2,3))</f>
        <v>1</v>
      </c>
      <c r="E148" s="0" t="str">
        <f aca="false">IF(B148=1,"Line 8: "&amp;$B$9,"")</f>
        <v/>
      </c>
      <c r="F148" s="0" t="str">
        <f aca="false">IF(B148=1,"Line amount does not reconcile","")</f>
        <v/>
      </c>
      <c r="G148" s="0" t="str">
        <f aca="false">IF(B148=1,"Forwarder shows "&amp;TEXT($P$9,"#,##0.00")&amp;" vs calculated "&amp;TEXT($L$9,"#,##0.00")&amp;IF($Y$9&gt;0," before tax / "&amp;TEXT($M$9,"#,##0.00")&amp;" incl. tax","")&amp;" "&amp;$I$9,"")</f>
        <v/>
      </c>
      <c r="H148" s="0" t="str">
        <f aca="false">IF(B148=1,"Ask the forwarder to correct the amount or explain the difference.","")</f>
        <v/>
      </c>
      <c r="I148" s="0" t="str">
        <f aca="false">IF(B148=1,IF(ISNUMBER($J$9),ROUND($R$9*$J$9,2),""),"")</f>
        <v/>
      </c>
      <c r="J148" s="0" t="str">
        <f aca="false">IF(B148=1,D148*1000+ROW(),"")</f>
        <v/>
      </c>
      <c r="K148" s="0" t="str">
        <f aca="false">IF(AND(B148=1,C148="Question"),ROW(),"")</f>
        <v/>
      </c>
    </row>
    <row r="149" customFormat="false" ht="15" hidden="false" customHeight="false" outlineLevel="0" collapsed="false">
      <c r="A149" s="0" t="s">
        <v>419</v>
      </c>
      <c r="B149" s="0" t="n">
        <f aca="false">IFERROR(IF($S$9&gt;0,1,0),0)</f>
        <v>0</v>
      </c>
      <c r="C149" s="0" t="str">
        <f aca="false">"Error"</f>
        <v>Error</v>
      </c>
      <c r="D149" s="0" t="n">
        <f aca="false">IF(C149="Error",1,IF(C149="Question",2,3))</f>
        <v>1</v>
      </c>
      <c r="E149" s="0" t="str">
        <f aca="false">IF(B149=1,"Line 8: "&amp;$B$9,"")</f>
        <v/>
      </c>
      <c r="F149" s="0" t="str">
        <f aca="false">IF(B149=1,"Rate above the agreed rate","")</f>
        <v/>
      </c>
      <c r="G149" s="0" t="str">
        <f aca="false">IF(B149=1,"Quoted "&amp;TEXT($H$9,"#,##0.00##")&amp;" vs agreed "&amp;TEXT(Audit!$M$61,"#,##0.00##")&amp;" "&amp;Audit!$D$61,"")</f>
        <v/>
      </c>
      <c r="H149" s="0" t="str">
        <f aca="false">IF(B149=1,"Ask the forwarder to apply the agreed rate.","")</f>
        <v/>
      </c>
      <c r="I149" s="0" t="str">
        <f aca="false">IF(B149=1,$S$9,"")</f>
        <v/>
      </c>
      <c r="J149" s="0" t="str">
        <f aca="false">IF(B149=1,D149*1000+ROW(),"")</f>
        <v/>
      </c>
      <c r="K149" s="0" t="str">
        <f aca="false">IF(AND(B149=1,C149="Question"),ROW(),"")</f>
        <v/>
      </c>
    </row>
    <row r="150" customFormat="false" ht="15" hidden="false" customHeight="false" outlineLevel="0" collapsed="false">
      <c r="A150" s="0" t="s">
        <v>420</v>
      </c>
      <c r="B150" s="0" t="n">
        <f aca="false">IFERROR(IF($X$9&lt;&gt;"",1,0),0)</f>
        <v>0</v>
      </c>
      <c r="C150" s="0" t="str">
        <f aca="false">"Question"</f>
        <v>Question</v>
      </c>
      <c r="D150" s="0" t="n">
        <f aca="false">IF(C150="Error",1,IF(C150="Question",2,3))</f>
        <v>2</v>
      </c>
      <c r="E150" s="0" t="str">
        <f aca="false">IF(B150=1,"Line 8: "&amp;$B$9,"")</f>
        <v/>
      </c>
      <c r="F150" s="0" t="str">
        <f aca="false">IF(B150=1,IF($X$9="flag",INDEX(Lists!$B$21:$B$25,MATCH($T$9,Lists!$A$21:$A$25,0)),IF($X$9="status","Status missing",IF($X$9="basis","Charging unit not stated",IF($X$9="rate","Rate missing",IF($X$9="base","Base amount not stated",IF($X$9="unclass","Charge not explained",IF($X$9="dup","Possible duplicate (same name, same service)","Charge not in the rate agreement"))))))),"")</f>
        <v/>
      </c>
      <c r="G150" s="0" t="str">
        <f aca="false">IF(B150=1,IF($X$9="flag",IF(Audit!$O$61&lt;&gt;"",Audit!$O$61,INDEX(Lists!$C$21:$C$25,MATCH($T$9,Lists!$A$21:$A$25,0))),IF($X$9="status","No status entered for this line.",IF($X$9="basis","The quotation does not say per what unit this is charged.",IF($X$9="rate","No rate entered for a firm or estimated charge.",IF($X$9="base","A percentage charge needs the amount it is calculated on.",IF($X$9="unclass","The charge does not fit a standard category or its purpose is unclear.",IF($X$9="dup","The same charge name appears more than once in the same service.","A rate agreement was provided but has no rate for this charge."))))))),"")</f>
        <v/>
      </c>
      <c r="H150" s="0" t="str">
        <f aca="false">IF(B150=1,IF($X$9="flag",INDEX(Lists!$E$21:$E$25,MATCH($T$9,Lists!$A$21:$A$25,0)),IF($X$9="status","Set the line status.",IF($X$9="basis","Ask the forwarder for the charging unit (per container, per B/L, per CBM...).",IF($X$9="rate","Enter the rate, or set the status to At cost / TBC.",IF($X$9="base","Ask the forwarder for the base amount (e.g. customs value).",IF($X$9="unclass","Ask the forwarder what this charge covers.",IF($X$9="dup","Ask whether both lines are needed; remove the duplicate.","Ask why the charge is not in the agreement; check the contract."))))))),"")</f>
        <v/>
      </c>
      <c r="I150" s="0" t="str">
        <f aca="false">IF(B150=1,IF(OR($X$9="dup",AND($X$9="flag",IFERROR(INDEX(Lists!$G$21:$G$25,MATCH($T$9,Lists!$A$21:$A$25,0)),0)=1)),IF(ISNUMBER($N$9),$N$9,""),""),"")</f>
        <v/>
      </c>
      <c r="J150" s="0" t="str">
        <f aca="false">IF(B150=1,D150*1000+ROW(),"")</f>
        <v/>
      </c>
      <c r="K150" s="0" t="str">
        <f aca="false">IF(AND(B150=1,C150="Question"),ROW(),"")</f>
        <v/>
      </c>
    </row>
    <row r="151" customFormat="false" ht="15" hidden="false" customHeight="false" outlineLevel="0" collapsed="false">
      <c r="A151" s="0" t="s">
        <v>421</v>
      </c>
      <c r="B151" s="0" t="n">
        <f aca="false">IFERROR(IF(AND($W$9=1,$D$9&lt;&gt;"Duties &amp; taxes"),1,0),0)</f>
        <v>0</v>
      </c>
      <c r="C151" s="0" t="str">
        <f aca="false">"Risk"</f>
        <v>Risk</v>
      </c>
      <c r="D151" s="0" t="n">
        <f aca="false">IF(C151="Error",1,IF(C151="Question",2,3))</f>
        <v>3</v>
      </c>
      <c r="E151" s="0" t="str">
        <f aca="false">IF(B151=1,"Line 8: "&amp;$B$9,"")</f>
        <v/>
      </c>
      <c r="F151" s="0" t="str">
        <f aca="false">IF(B151=1,IF($F$9="TBC","Amount to be confirmed","Charged at cost - amount not quoted"),"")</f>
        <v/>
      </c>
      <c r="G151" s="0" t="str">
        <f aca="false">IF(B151=1,"The final cost is unknown until invoiced.","")</f>
        <v/>
      </c>
      <c r="H151" s="0" t="str">
        <f aca="false">IF(B151=1,"Ask for an indicative amount; tell the client it may be added.","")</f>
        <v/>
      </c>
      <c r="I151" s="0" t="str">
        <f aca="false">IF(B151=1,"","")</f>
        <v/>
      </c>
      <c r="J151" s="0" t="str">
        <f aca="false">IF(B151=1,D151*1000+ROW(),"")</f>
        <v/>
      </c>
      <c r="K151" s="0" t="str">
        <f aca="false">IF(AND(B151=1,C151="Question"),ROW(),"")</f>
        <v/>
      </c>
    </row>
    <row r="152" customFormat="false" ht="15" hidden="false" customHeight="false" outlineLevel="0" collapsed="false">
      <c r="A152" s="0" t="s">
        <v>422</v>
      </c>
      <c r="B152" s="0" t="n">
        <f aca="false">IFERROR(IF(LEFT($Q$10,5)="Error",1,0),0)</f>
        <v>0</v>
      </c>
      <c r="C152" s="0" t="str">
        <f aca="false">"Error"</f>
        <v>Error</v>
      </c>
      <c r="D152" s="0" t="n">
        <f aca="false">IF(C152="Error",1,IF(C152="Question",2,3))</f>
        <v>1</v>
      </c>
      <c r="E152" s="0" t="str">
        <f aca="false">IF(B152=1,"Line 9: "&amp;$B$10,"")</f>
        <v/>
      </c>
      <c r="F152" s="0" t="str">
        <f aca="false">IF(B152=1,"Line amount does not reconcile","")</f>
        <v/>
      </c>
      <c r="G152" s="0" t="str">
        <f aca="false">IF(B152=1,"Forwarder shows "&amp;TEXT($P$10,"#,##0.00")&amp;" vs calculated "&amp;TEXT($L$10,"#,##0.00")&amp;IF($Y$10&gt;0," before tax / "&amp;TEXT($M$10,"#,##0.00")&amp;" incl. tax","")&amp;" "&amp;$I$10,"")</f>
        <v/>
      </c>
      <c r="H152" s="0" t="str">
        <f aca="false">IF(B152=1,"Ask the forwarder to correct the amount or explain the difference.","")</f>
        <v/>
      </c>
      <c r="I152" s="0" t="str">
        <f aca="false">IF(B152=1,IF(ISNUMBER($J$10),ROUND($R$10*$J$10,2),""),"")</f>
        <v/>
      </c>
      <c r="J152" s="0" t="str">
        <f aca="false">IF(B152=1,D152*1000+ROW(),"")</f>
        <v/>
      </c>
      <c r="K152" s="0" t="str">
        <f aca="false">IF(AND(B152=1,C152="Question"),ROW(),"")</f>
        <v/>
      </c>
    </row>
    <row r="153" customFormat="false" ht="15" hidden="false" customHeight="false" outlineLevel="0" collapsed="false">
      <c r="A153" s="0" t="s">
        <v>423</v>
      </c>
      <c r="B153" s="0" t="n">
        <f aca="false">IFERROR(IF($S$10&gt;0,1,0),0)</f>
        <v>0</v>
      </c>
      <c r="C153" s="0" t="str">
        <f aca="false">"Error"</f>
        <v>Error</v>
      </c>
      <c r="D153" s="0" t="n">
        <f aca="false">IF(C153="Error",1,IF(C153="Question",2,3))</f>
        <v>1</v>
      </c>
      <c r="E153" s="0" t="str">
        <f aca="false">IF(B153=1,"Line 9: "&amp;$B$10,"")</f>
        <v/>
      </c>
      <c r="F153" s="0" t="str">
        <f aca="false">IF(B153=1,"Rate above the agreed rate","")</f>
        <v/>
      </c>
      <c r="G153" s="0" t="str">
        <f aca="false">IF(B153=1,"Quoted "&amp;TEXT($H$10,"#,##0.00##")&amp;" vs agreed "&amp;TEXT(Audit!$M$62,"#,##0.00##")&amp;" "&amp;Audit!$D$62,"")</f>
        <v/>
      </c>
      <c r="H153" s="0" t="str">
        <f aca="false">IF(B153=1,"Ask the forwarder to apply the agreed rate.","")</f>
        <v/>
      </c>
      <c r="I153" s="0" t="str">
        <f aca="false">IF(B153=1,$S$10,"")</f>
        <v/>
      </c>
      <c r="J153" s="0" t="str">
        <f aca="false">IF(B153=1,D153*1000+ROW(),"")</f>
        <v/>
      </c>
      <c r="K153" s="0" t="str">
        <f aca="false">IF(AND(B153=1,C153="Question"),ROW(),"")</f>
        <v/>
      </c>
    </row>
    <row r="154" customFormat="false" ht="15" hidden="false" customHeight="false" outlineLevel="0" collapsed="false">
      <c r="A154" s="0" t="s">
        <v>424</v>
      </c>
      <c r="B154" s="0" t="n">
        <f aca="false">IFERROR(IF($X$10&lt;&gt;"",1,0),0)</f>
        <v>0</v>
      </c>
      <c r="C154" s="0" t="str">
        <f aca="false">"Question"</f>
        <v>Question</v>
      </c>
      <c r="D154" s="0" t="n">
        <f aca="false">IF(C154="Error",1,IF(C154="Question",2,3))</f>
        <v>2</v>
      </c>
      <c r="E154" s="0" t="str">
        <f aca="false">IF(B154=1,"Line 9: "&amp;$B$10,"")</f>
        <v/>
      </c>
      <c r="F154" s="0" t="str">
        <f aca="false">IF(B154=1,IF($X$10="flag",INDEX(Lists!$B$21:$B$25,MATCH($T$10,Lists!$A$21:$A$25,0)),IF($X$10="status","Status missing",IF($X$10="basis","Charging unit not stated",IF($X$10="rate","Rate missing",IF($X$10="base","Base amount not stated",IF($X$10="unclass","Charge not explained",IF($X$10="dup","Possible duplicate (same name, same service)","Charge not in the rate agreement"))))))),"")</f>
        <v/>
      </c>
      <c r="G154" s="0" t="str">
        <f aca="false">IF(B154=1,IF($X$10="flag",IF(Audit!$O$62&lt;&gt;"",Audit!$O$62,INDEX(Lists!$C$21:$C$25,MATCH($T$10,Lists!$A$21:$A$25,0))),IF($X$10="status","No status entered for this line.",IF($X$10="basis","The quotation does not say per what unit this is charged.",IF($X$10="rate","No rate entered for a firm or estimated charge.",IF($X$10="base","A percentage charge needs the amount it is calculated on.",IF($X$10="unclass","The charge does not fit a standard category or its purpose is unclear.",IF($X$10="dup","The same charge name appears more than once in the same service.","A rate agreement was provided but has no rate for this charge."))))))),"")</f>
        <v/>
      </c>
      <c r="H154" s="0" t="str">
        <f aca="false">IF(B154=1,IF($X$10="flag",INDEX(Lists!$E$21:$E$25,MATCH($T$10,Lists!$A$21:$A$25,0)),IF($X$10="status","Set the line status.",IF($X$10="basis","Ask the forwarder for the charging unit (per container, per B/L, per CBM...).",IF($X$10="rate","Enter the rate, or set the status to At cost / TBC.",IF($X$10="base","Ask the forwarder for the base amount (e.g. customs value).",IF($X$10="unclass","Ask the forwarder what this charge covers.",IF($X$10="dup","Ask whether both lines are needed; remove the duplicate.","Ask why the charge is not in the agreement; check the contract."))))))),"")</f>
        <v/>
      </c>
      <c r="I154" s="0" t="str">
        <f aca="false">IF(B154=1,IF(OR($X$10="dup",AND($X$10="flag",IFERROR(INDEX(Lists!$G$21:$G$25,MATCH($T$10,Lists!$A$21:$A$25,0)),0)=1)),IF(ISNUMBER($N$10),$N$10,""),""),"")</f>
        <v/>
      </c>
      <c r="J154" s="0" t="str">
        <f aca="false">IF(B154=1,D154*1000+ROW(),"")</f>
        <v/>
      </c>
      <c r="K154" s="0" t="str">
        <f aca="false">IF(AND(B154=1,C154="Question"),ROW(),"")</f>
        <v/>
      </c>
    </row>
    <row r="155" customFormat="false" ht="15" hidden="false" customHeight="false" outlineLevel="0" collapsed="false">
      <c r="A155" s="0" t="s">
        <v>425</v>
      </c>
      <c r="B155" s="0" t="n">
        <f aca="false">IFERROR(IF(AND($W$10=1,$D$10&lt;&gt;"Duties &amp; taxes"),1,0),0)</f>
        <v>0</v>
      </c>
      <c r="C155" s="0" t="str">
        <f aca="false">"Risk"</f>
        <v>Risk</v>
      </c>
      <c r="D155" s="0" t="n">
        <f aca="false">IF(C155="Error",1,IF(C155="Question",2,3))</f>
        <v>3</v>
      </c>
      <c r="E155" s="0" t="str">
        <f aca="false">IF(B155=1,"Line 9: "&amp;$B$10,"")</f>
        <v/>
      </c>
      <c r="F155" s="0" t="str">
        <f aca="false">IF(B155=1,IF($F$10="TBC","Amount to be confirmed","Charged at cost - amount not quoted"),"")</f>
        <v/>
      </c>
      <c r="G155" s="0" t="str">
        <f aca="false">IF(B155=1,"The final cost is unknown until invoiced.","")</f>
        <v/>
      </c>
      <c r="H155" s="0" t="str">
        <f aca="false">IF(B155=1,"Ask for an indicative amount; tell the client it may be added.","")</f>
        <v/>
      </c>
      <c r="I155" s="0" t="str">
        <f aca="false">IF(B155=1,"","")</f>
        <v/>
      </c>
      <c r="J155" s="0" t="str">
        <f aca="false">IF(B155=1,D155*1000+ROW(),"")</f>
        <v/>
      </c>
      <c r="K155" s="0" t="str">
        <f aca="false">IF(AND(B155=1,C155="Question"),ROW(),"")</f>
        <v/>
      </c>
    </row>
    <row r="156" customFormat="false" ht="15" hidden="false" customHeight="false" outlineLevel="0" collapsed="false">
      <c r="A156" s="0" t="s">
        <v>426</v>
      </c>
      <c r="B156" s="0" t="n">
        <f aca="false">IFERROR(IF(LEFT($Q$11,5)="Error",1,0),0)</f>
        <v>0</v>
      </c>
      <c r="C156" s="0" t="str">
        <f aca="false">"Error"</f>
        <v>Error</v>
      </c>
      <c r="D156" s="0" t="n">
        <f aca="false">IF(C156="Error",1,IF(C156="Question",2,3))</f>
        <v>1</v>
      </c>
      <c r="E156" s="0" t="str">
        <f aca="false">IF(B156=1,"Line 10: "&amp;$B$11,"")</f>
        <v/>
      </c>
      <c r="F156" s="0" t="str">
        <f aca="false">IF(B156=1,"Line amount does not reconcile","")</f>
        <v/>
      </c>
      <c r="G156" s="0" t="str">
        <f aca="false">IF(B156=1,"Forwarder shows "&amp;TEXT($P$11,"#,##0.00")&amp;" vs calculated "&amp;TEXT($L$11,"#,##0.00")&amp;IF($Y$11&gt;0," before tax / "&amp;TEXT($M$11,"#,##0.00")&amp;" incl. tax","")&amp;" "&amp;$I$11,"")</f>
        <v/>
      </c>
      <c r="H156" s="0" t="str">
        <f aca="false">IF(B156=1,"Ask the forwarder to correct the amount or explain the difference.","")</f>
        <v/>
      </c>
      <c r="I156" s="0" t="str">
        <f aca="false">IF(B156=1,IF(ISNUMBER($J$11),ROUND($R$11*$J$11,2),""),"")</f>
        <v/>
      </c>
      <c r="J156" s="0" t="str">
        <f aca="false">IF(B156=1,D156*1000+ROW(),"")</f>
        <v/>
      </c>
      <c r="K156" s="0" t="str">
        <f aca="false">IF(AND(B156=1,C156="Question"),ROW(),"")</f>
        <v/>
      </c>
    </row>
    <row r="157" customFormat="false" ht="15" hidden="false" customHeight="false" outlineLevel="0" collapsed="false">
      <c r="A157" s="0" t="s">
        <v>427</v>
      </c>
      <c r="B157" s="0" t="n">
        <f aca="false">IFERROR(IF($S$11&gt;0,1,0),0)</f>
        <v>0</v>
      </c>
      <c r="C157" s="0" t="str">
        <f aca="false">"Error"</f>
        <v>Error</v>
      </c>
      <c r="D157" s="0" t="n">
        <f aca="false">IF(C157="Error",1,IF(C157="Question",2,3))</f>
        <v>1</v>
      </c>
      <c r="E157" s="0" t="str">
        <f aca="false">IF(B157=1,"Line 10: "&amp;$B$11,"")</f>
        <v/>
      </c>
      <c r="F157" s="0" t="str">
        <f aca="false">IF(B157=1,"Rate above the agreed rate","")</f>
        <v/>
      </c>
      <c r="G157" s="0" t="str">
        <f aca="false">IF(B157=1,"Quoted "&amp;TEXT($H$11,"#,##0.00##")&amp;" vs agreed "&amp;TEXT(Audit!$M$63,"#,##0.00##")&amp;" "&amp;Audit!$D$63,"")</f>
        <v/>
      </c>
      <c r="H157" s="0" t="str">
        <f aca="false">IF(B157=1,"Ask the forwarder to apply the agreed rate.","")</f>
        <v/>
      </c>
      <c r="I157" s="0" t="str">
        <f aca="false">IF(B157=1,$S$11,"")</f>
        <v/>
      </c>
      <c r="J157" s="0" t="str">
        <f aca="false">IF(B157=1,D157*1000+ROW(),"")</f>
        <v/>
      </c>
      <c r="K157" s="0" t="str">
        <f aca="false">IF(AND(B157=1,C157="Question"),ROW(),"")</f>
        <v/>
      </c>
    </row>
    <row r="158" customFormat="false" ht="15" hidden="false" customHeight="false" outlineLevel="0" collapsed="false">
      <c r="A158" s="0" t="s">
        <v>428</v>
      </c>
      <c r="B158" s="0" t="n">
        <f aca="false">IFERROR(IF($X$11&lt;&gt;"",1,0),0)</f>
        <v>0</v>
      </c>
      <c r="C158" s="0" t="str">
        <f aca="false">"Question"</f>
        <v>Question</v>
      </c>
      <c r="D158" s="0" t="n">
        <f aca="false">IF(C158="Error",1,IF(C158="Question",2,3))</f>
        <v>2</v>
      </c>
      <c r="E158" s="0" t="str">
        <f aca="false">IF(B158=1,"Line 10: "&amp;$B$11,"")</f>
        <v/>
      </c>
      <c r="F158" s="0" t="str">
        <f aca="false">IF(B158=1,IF($X$11="flag",INDEX(Lists!$B$21:$B$25,MATCH($T$11,Lists!$A$21:$A$25,0)),IF($X$11="status","Status missing",IF($X$11="basis","Charging unit not stated",IF($X$11="rate","Rate missing",IF($X$11="base","Base amount not stated",IF($X$11="unclass","Charge not explained",IF($X$11="dup","Possible duplicate (same name, same service)","Charge not in the rate agreement"))))))),"")</f>
        <v/>
      </c>
      <c r="G158" s="0" t="str">
        <f aca="false">IF(B158=1,IF($X$11="flag",IF(Audit!$O$63&lt;&gt;"",Audit!$O$63,INDEX(Lists!$C$21:$C$25,MATCH($T$11,Lists!$A$21:$A$25,0))),IF($X$11="status","No status entered for this line.",IF($X$11="basis","The quotation does not say per what unit this is charged.",IF($X$11="rate","No rate entered for a firm or estimated charge.",IF($X$11="base","A percentage charge needs the amount it is calculated on.",IF($X$11="unclass","The charge does not fit a standard category or its purpose is unclear.",IF($X$11="dup","The same charge name appears more than once in the same service.","A rate agreement was provided but has no rate for this charge."))))))),"")</f>
        <v/>
      </c>
      <c r="H158" s="0" t="str">
        <f aca="false">IF(B158=1,IF($X$11="flag",INDEX(Lists!$E$21:$E$25,MATCH($T$11,Lists!$A$21:$A$25,0)),IF($X$11="status","Set the line status.",IF($X$11="basis","Ask the forwarder for the charging unit (per container, per B/L, per CBM...).",IF($X$11="rate","Enter the rate, or set the status to At cost / TBC.",IF($X$11="base","Ask the forwarder for the base amount (e.g. customs value).",IF($X$11="unclass","Ask the forwarder what this charge covers.",IF($X$11="dup","Ask whether both lines are needed; remove the duplicate.","Ask why the charge is not in the agreement; check the contract."))))))),"")</f>
        <v/>
      </c>
      <c r="I158" s="0" t="str">
        <f aca="false">IF(B158=1,IF(OR($X$11="dup",AND($X$11="flag",IFERROR(INDEX(Lists!$G$21:$G$25,MATCH($T$11,Lists!$A$21:$A$25,0)),0)=1)),IF(ISNUMBER($N$11),$N$11,""),""),"")</f>
        <v/>
      </c>
      <c r="J158" s="0" t="str">
        <f aca="false">IF(B158=1,D158*1000+ROW(),"")</f>
        <v/>
      </c>
      <c r="K158" s="0" t="str">
        <f aca="false">IF(AND(B158=1,C158="Question"),ROW(),"")</f>
        <v/>
      </c>
    </row>
    <row r="159" customFormat="false" ht="15" hidden="false" customHeight="false" outlineLevel="0" collapsed="false">
      <c r="A159" s="0" t="s">
        <v>429</v>
      </c>
      <c r="B159" s="0" t="n">
        <f aca="false">IFERROR(IF(AND($W$11=1,$D$11&lt;&gt;"Duties &amp; taxes"),1,0),0)</f>
        <v>0</v>
      </c>
      <c r="C159" s="0" t="str">
        <f aca="false">"Risk"</f>
        <v>Risk</v>
      </c>
      <c r="D159" s="0" t="n">
        <f aca="false">IF(C159="Error",1,IF(C159="Question",2,3))</f>
        <v>3</v>
      </c>
      <c r="E159" s="0" t="str">
        <f aca="false">IF(B159=1,"Line 10: "&amp;$B$11,"")</f>
        <v/>
      </c>
      <c r="F159" s="0" t="str">
        <f aca="false">IF(B159=1,IF($F$11="TBC","Amount to be confirmed","Charged at cost - amount not quoted"),"")</f>
        <v/>
      </c>
      <c r="G159" s="0" t="str">
        <f aca="false">IF(B159=1,"The final cost is unknown until invoiced.","")</f>
        <v/>
      </c>
      <c r="H159" s="0" t="str">
        <f aca="false">IF(B159=1,"Ask for an indicative amount; tell the client it may be added.","")</f>
        <v/>
      </c>
      <c r="I159" s="0" t="str">
        <f aca="false">IF(B159=1,"","")</f>
        <v/>
      </c>
      <c r="J159" s="0" t="str">
        <f aca="false">IF(B159=1,D159*1000+ROW(),"")</f>
        <v/>
      </c>
      <c r="K159" s="0" t="str">
        <f aca="false">IF(AND(B159=1,C159="Question"),ROW(),"")</f>
        <v/>
      </c>
    </row>
    <row r="160" customFormat="false" ht="15" hidden="false" customHeight="false" outlineLevel="0" collapsed="false">
      <c r="A160" s="0" t="s">
        <v>430</v>
      </c>
      <c r="B160" s="0" t="n">
        <f aca="false">IFERROR(IF(LEFT($Q$12,5)="Error",1,0),0)</f>
        <v>0</v>
      </c>
      <c r="C160" s="0" t="str">
        <f aca="false">"Error"</f>
        <v>Error</v>
      </c>
      <c r="D160" s="0" t="n">
        <f aca="false">IF(C160="Error",1,IF(C160="Question",2,3))</f>
        <v>1</v>
      </c>
      <c r="E160" s="0" t="str">
        <f aca="false">IF(B160=1,"Line 11: "&amp;$B$12,"")</f>
        <v/>
      </c>
      <c r="F160" s="0" t="str">
        <f aca="false">IF(B160=1,"Line amount does not reconcile","")</f>
        <v/>
      </c>
      <c r="G160" s="0" t="str">
        <f aca="false">IF(B160=1,"Forwarder shows "&amp;TEXT($P$12,"#,##0.00")&amp;" vs calculated "&amp;TEXT($L$12,"#,##0.00")&amp;IF($Y$12&gt;0," before tax / "&amp;TEXT($M$12,"#,##0.00")&amp;" incl. tax","")&amp;" "&amp;$I$12,"")</f>
        <v/>
      </c>
      <c r="H160" s="0" t="str">
        <f aca="false">IF(B160=1,"Ask the forwarder to correct the amount or explain the difference.","")</f>
        <v/>
      </c>
      <c r="I160" s="0" t="str">
        <f aca="false">IF(B160=1,IF(ISNUMBER($J$12),ROUND($R$12*$J$12,2),""),"")</f>
        <v/>
      </c>
      <c r="J160" s="0" t="str">
        <f aca="false">IF(B160=1,D160*1000+ROW(),"")</f>
        <v/>
      </c>
      <c r="K160" s="0" t="str">
        <f aca="false">IF(AND(B160=1,C160="Question"),ROW(),"")</f>
        <v/>
      </c>
    </row>
    <row r="161" customFormat="false" ht="15" hidden="false" customHeight="false" outlineLevel="0" collapsed="false">
      <c r="A161" s="0" t="s">
        <v>431</v>
      </c>
      <c r="B161" s="0" t="n">
        <f aca="false">IFERROR(IF($S$12&gt;0,1,0),0)</f>
        <v>0</v>
      </c>
      <c r="C161" s="0" t="str">
        <f aca="false">"Error"</f>
        <v>Error</v>
      </c>
      <c r="D161" s="0" t="n">
        <f aca="false">IF(C161="Error",1,IF(C161="Question",2,3))</f>
        <v>1</v>
      </c>
      <c r="E161" s="0" t="str">
        <f aca="false">IF(B161=1,"Line 11: "&amp;$B$12,"")</f>
        <v/>
      </c>
      <c r="F161" s="0" t="str">
        <f aca="false">IF(B161=1,"Rate above the agreed rate","")</f>
        <v/>
      </c>
      <c r="G161" s="0" t="str">
        <f aca="false">IF(B161=1,"Quoted "&amp;TEXT($H$12,"#,##0.00##")&amp;" vs agreed "&amp;TEXT(Audit!$M$64,"#,##0.00##")&amp;" "&amp;Audit!$D$64,"")</f>
        <v/>
      </c>
      <c r="H161" s="0" t="str">
        <f aca="false">IF(B161=1,"Ask the forwarder to apply the agreed rate.","")</f>
        <v/>
      </c>
      <c r="I161" s="0" t="str">
        <f aca="false">IF(B161=1,$S$12,"")</f>
        <v/>
      </c>
      <c r="J161" s="0" t="str">
        <f aca="false">IF(B161=1,D161*1000+ROW(),"")</f>
        <v/>
      </c>
      <c r="K161" s="0" t="str">
        <f aca="false">IF(AND(B161=1,C161="Question"),ROW(),"")</f>
        <v/>
      </c>
    </row>
    <row r="162" customFormat="false" ht="15" hidden="false" customHeight="false" outlineLevel="0" collapsed="false">
      <c r="A162" s="0" t="s">
        <v>432</v>
      </c>
      <c r="B162" s="0" t="n">
        <f aca="false">IFERROR(IF($X$12&lt;&gt;"",1,0),0)</f>
        <v>0</v>
      </c>
      <c r="C162" s="0" t="str">
        <f aca="false">"Question"</f>
        <v>Question</v>
      </c>
      <c r="D162" s="0" t="n">
        <f aca="false">IF(C162="Error",1,IF(C162="Question",2,3))</f>
        <v>2</v>
      </c>
      <c r="E162" s="0" t="str">
        <f aca="false">IF(B162=1,"Line 11: "&amp;$B$12,"")</f>
        <v/>
      </c>
      <c r="F162" s="0" t="str">
        <f aca="false">IF(B162=1,IF($X$12="flag",INDEX(Lists!$B$21:$B$25,MATCH($T$12,Lists!$A$21:$A$25,0)),IF($X$12="status","Status missing",IF($X$12="basis","Charging unit not stated",IF($X$12="rate","Rate missing",IF($X$12="base","Base amount not stated",IF($X$12="unclass","Charge not explained",IF($X$12="dup","Possible duplicate (same name, same service)","Charge not in the rate agreement"))))))),"")</f>
        <v/>
      </c>
      <c r="G162" s="0" t="str">
        <f aca="false">IF(B162=1,IF($X$12="flag",IF(Audit!$O$64&lt;&gt;"",Audit!$O$64,INDEX(Lists!$C$21:$C$25,MATCH($T$12,Lists!$A$21:$A$25,0))),IF($X$12="status","No status entered for this line.",IF($X$12="basis","The quotation does not say per what unit this is charged.",IF($X$12="rate","No rate entered for a firm or estimated charge.",IF($X$12="base","A percentage charge needs the amount it is calculated on.",IF($X$12="unclass","The charge does not fit a standard category or its purpose is unclear.",IF($X$12="dup","The same charge name appears more than once in the same service.","A rate agreement was provided but has no rate for this charge."))))))),"")</f>
        <v/>
      </c>
      <c r="H162" s="0" t="str">
        <f aca="false">IF(B162=1,IF($X$12="flag",INDEX(Lists!$E$21:$E$25,MATCH($T$12,Lists!$A$21:$A$25,0)),IF($X$12="status","Set the line status.",IF($X$12="basis","Ask the forwarder for the charging unit (per container, per B/L, per CBM...).",IF($X$12="rate","Enter the rate, or set the status to At cost / TBC.",IF($X$12="base","Ask the forwarder for the base amount (e.g. customs value).",IF($X$12="unclass","Ask the forwarder what this charge covers.",IF($X$12="dup","Ask whether both lines are needed; remove the duplicate.","Ask why the charge is not in the agreement; check the contract."))))))),"")</f>
        <v/>
      </c>
      <c r="I162" s="0" t="str">
        <f aca="false">IF(B162=1,IF(OR($X$12="dup",AND($X$12="flag",IFERROR(INDEX(Lists!$G$21:$G$25,MATCH($T$12,Lists!$A$21:$A$25,0)),0)=1)),IF(ISNUMBER($N$12),$N$12,""),""),"")</f>
        <v/>
      </c>
      <c r="J162" s="0" t="str">
        <f aca="false">IF(B162=1,D162*1000+ROW(),"")</f>
        <v/>
      </c>
      <c r="K162" s="0" t="str">
        <f aca="false">IF(AND(B162=1,C162="Question"),ROW(),"")</f>
        <v/>
      </c>
    </row>
    <row r="163" customFormat="false" ht="15" hidden="false" customHeight="false" outlineLevel="0" collapsed="false">
      <c r="A163" s="0" t="s">
        <v>433</v>
      </c>
      <c r="B163" s="0" t="n">
        <f aca="false">IFERROR(IF(AND($W$12=1,$D$12&lt;&gt;"Duties &amp; taxes"),1,0),0)</f>
        <v>0</v>
      </c>
      <c r="C163" s="0" t="str">
        <f aca="false">"Risk"</f>
        <v>Risk</v>
      </c>
      <c r="D163" s="0" t="n">
        <f aca="false">IF(C163="Error",1,IF(C163="Question",2,3))</f>
        <v>3</v>
      </c>
      <c r="E163" s="0" t="str">
        <f aca="false">IF(B163=1,"Line 11: "&amp;$B$12,"")</f>
        <v/>
      </c>
      <c r="F163" s="0" t="str">
        <f aca="false">IF(B163=1,IF($F$12="TBC","Amount to be confirmed","Charged at cost - amount not quoted"),"")</f>
        <v/>
      </c>
      <c r="G163" s="0" t="str">
        <f aca="false">IF(B163=1,"The final cost is unknown until invoiced.","")</f>
        <v/>
      </c>
      <c r="H163" s="0" t="str">
        <f aca="false">IF(B163=1,"Ask for an indicative amount; tell the client it may be added.","")</f>
        <v/>
      </c>
      <c r="I163" s="0" t="str">
        <f aca="false">IF(B163=1,"","")</f>
        <v/>
      </c>
      <c r="J163" s="0" t="str">
        <f aca="false">IF(B163=1,D163*1000+ROW(),"")</f>
        <v/>
      </c>
      <c r="K163" s="0" t="str">
        <f aca="false">IF(AND(B163=1,C163="Question"),ROW(),"")</f>
        <v/>
      </c>
    </row>
    <row r="164" customFormat="false" ht="15" hidden="false" customHeight="false" outlineLevel="0" collapsed="false">
      <c r="A164" s="0" t="s">
        <v>434</v>
      </c>
      <c r="B164" s="0" t="n">
        <f aca="false">IFERROR(IF(LEFT($Q$13,5)="Error",1,0),0)</f>
        <v>0</v>
      </c>
      <c r="C164" s="0" t="str">
        <f aca="false">"Error"</f>
        <v>Error</v>
      </c>
      <c r="D164" s="0" t="n">
        <f aca="false">IF(C164="Error",1,IF(C164="Question",2,3))</f>
        <v>1</v>
      </c>
      <c r="E164" s="0" t="str">
        <f aca="false">IF(B164=1,"Line 12: "&amp;$B$13,"")</f>
        <v/>
      </c>
      <c r="F164" s="0" t="str">
        <f aca="false">IF(B164=1,"Line amount does not reconcile","")</f>
        <v/>
      </c>
      <c r="G164" s="0" t="str">
        <f aca="false">IF(B164=1,"Forwarder shows "&amp;TEXT($P$13,"#,##0.00")&amp;" vs calculated "&amp;TEXT($L$13,"#,##0.00")&amp;IF($Y$13&gt;0," before tax / "&amp;TEXT($M$13,"#,##0.00")&amp;" incl. tax","")&amp;" "&amp;$I$13,"")</f>
        <v/>
      </c>
      <c r="H164" s="0" t="str">
        <f aca="false">IF(B164=1,"Ask the forwarder to correct the amount or explain the difference.","")</f>
        <v/>
      </c>
      <c r="I164" s="0" t="str">
        <f aca="false">IF(B164=1,IF(ISNUMBER($J$13),ROUND($R$13*$J$13,2),""),"")</f>
        <v/>
      </c>
      <c r="J164" s="0" t="str">
        <f aca="false">IF(B164=1,D164*1000+ROW(),"")</f>
        <v/>
      </c>
      <c r="K164" s="0" t="str">
        <f aca="false">IF(AND(B164=1,C164="Question"),ROW(),"")</f>
        <v/>
      </c>
    </row>
    <row r="165" customFormat="false" ht="15" hidden="false" customHeight="false" outlineLevel="0" collapsed="false">
      <c r="A165" s="0" t="s">
        <v>435</v>
      </c>
      <c r="B165" s="0" t="n">
        <f aca="false">IFERROR(IF($S$13&gt;0,1,0),0)</f>
        <v>0</v>
      </c>
      <c r="C165" s="0" t="str">
        <f aca="false">"Error"</f>
        <v>Error</v>
      </c>
      <c r="D165" s="0" t="n">
        <f aca="false">IF(C165="Error",1,IF(C165="Question",2,3))</f>
        <v>1</v>
      </c>
      <c r="E165" s="0" t="str">
        <f aca="false">IF(B165=1,"Line 12: "&amp;$B$13,"")</f>
        <v/>
      </c>
      <c r="F165" s="0" t="str">
        <f aca="false">IF(B165=1,"Rate above the agreed rate","")</f>
        <v/>
      </c>
      <c r="G165" s="0" t="str">
        <f aca="false">IF(B165=1,"Quoted "&amp;TEXT($H$13,"#,##0.00##")&amp;" vs agreed "&amp;TEXT(Audit!$M$65,"#,##0.00##")&amp;" "&amp;Audit!$D$65,"")</f>
        <v/>
      </c>
      <c r="H165" s="0" t="str">
        <f aca="false">IF(B165=1,"Ask the forwarder to apply the agreed rate.","")</f>
        <v/>
      </c>
      <c r="I165" s="0" t="str">
        <f aca="false">IF(B165=1,$S$13,"")</f>
        <v/>
      </c>
      <c r="J165" s="0" t="str">
        <f aca="false">IF(B165=1,D165*1000+ROW(),"")</f>
        <v/>
      </c>
      <c r="K165" s="0" t="str">
        <f aca="false">IF(AND(B165=1,C165="Question"),ROW(),"")</f>
        <v/>
      </c>
    </row>
    <row r="166" customFormat="false" ht="15" hidden="false" customHeight="false" outlineLevel="0" collapsed="false">
      <c r="A166" s="0" t="s">
        <v>436</v>
      </c>
      <c r="B166" s="0" t="n">
        <f aca="false">IFERROR(IF($X$13&lt;&gt;"",1,0),0)</f>
        <v>0</v>
      </c>
      <c r="C166" s="0" t="str">
        <f aca="false">"Question"</f>
        <v>Question</v>
      </c>
      <c r="D166" s="0" t="n">
        <f aca="false">IF(C166="Error",1,IF(C166="Question",2,3))</f>
        <v>2</v>
      </c>
      <c r="E166" s="0" t="str">
        <f aca="false">IF(B166=1,"Line 12: "&amp;$B$13,"")</f>
        <v/>
      </c>
      <c r="F166" s="0" t="str">
        <f aca="false">IF(B166=1,IF($X$13="flag",INDEX(Lists!$B$21:$B$25,MATCH($T$13,Lists!$A$21:$A$25,0)),IF($X$13="status","Status missing",IF($X$13="basis","Charging unit not stated",IF($X$13="rate","Rate missing",IF($X$13="base","Base amount not stated",IF($X$13="unclass","Charge not explained",IF($X$13="dup","Possible duplicate (same name, same service)","Charge not in the rate agreement"))))))),"")</f>
        <v/>
      </c>
      <c r="G166" s="0" t="str">
        <f aca="false">IF(B166=1,IF($X$13="flag",IF(Audit!$O$65&lt;&gt;"",Audit!$O$65,INDEX(Lists!$C$21:$C$25,MATCH($T$13,Lists!$A$21:$A$25,0))),IF($X$13="status","No status entered for this line.",IF($X$13="basis","The quotation does not say per what unit this is charged.",IF($X$13="rate","No rate entered for a firm or estimated charge.",IF($X$13="base","A percentage charge needs the amount it is calculated on.",IF($X$13="unclass","The charge does not fit a standard category or its purpose is unclear.",IF($X$13="dup","The same charge name appears more than once in the same service.","A rate agreement was provided but has no rate for this charge."))))))),"")</f>
        <v/>
      </c>
      <c r="H166" s="0" t="str">
        <f aca="false">IF(B166=1,IF($X$13="flag",INDEX(Lists!$E$21:$E$25,MATCH($T$13,Lists!$A$21:$A$25,0)),IF($X$13="status","Set the line status.",IF($X$13="basis","Ask the forwarder for the charging unit (per container, per B/L, per CBM...).",IF($X$13="rate","Enter the rate, or set the status to At cost / TBC.",IF($X$13="base","Ask the forwarder for the base amount (e.g. customs value).",IF($X$13="unclass","Ask the forwarder what this charge covers.",IF($X$13="dup","Ask whether both lines are needed; remove the duplicate.","Ask why the charge is not in the agreement; check the contract."))))))),"")</f>
        <v/>
      </c>
      <c r="I166" s="0" t="str">
        <f aca="false">IF(B166=1,IF(OR($X$13="dup",AND($X$13="flag",IFERROR(INDEX(Lists!$G$21:$G$25,MATCH($T$13,Lists!$A$21:$A$25,0)),0)=1)),IF(ISNUMBER($N$13),$N$13,""),""),"")</f>
        <v/>
      </c>
      <c r="J166" s="0" t="str">
        <f aca="false">IF(B166=1,D166*1000+ROW(),"")</f>
        <v/>
      </c>
      <c r="K166" s="0" t="str">
        <f aca="false">IF(AND(B166=1,C166="Question"),ROW(),"")</f>
        <v/>
      </c>
    </row>
    <row r="167" customFormat="false" ht="15" hidden="false" customHeight="false" outlineLevel="0" collapsed="false">
      <c r="A167" s="0" t="s">
        <v>437</v>
      </c>
      <c r="B167" s="0" t="n">
        <f aca="false">IFERROR(IF(AND($W$13=1,$D$13&lt;&gt;"Duties &amp; taxes"),1,0),0)</f>
        <v>0</v>
      </c>
      <c r="C167" s="0" t="str">
        <f aca="false">"Risk"</f>
        <v>Risk</v>
      </c>
      <c r="D167" s="0" t="n">
        <f aca="false">IF(C167="Error",1,IF(C167="Question",2,3))</f>
        <v>3</v>
      </c>
      <c r="E167" s="0" t="str">
        <f aca="false">IF(B167=1,"Line 12: "&amp;$B$13,"")</f>
        <v/>
      </c>
      <c r="F167" s="0" t="str">
        <f aca="false">IF(B167=1,IF($F$13="TBC","Amount to be confirmed","Charged at cost - amount not quoted"),"")</f>
        <v/>
      </c>
      <c r="G167" s="0" t="str">
        <f aca="false">IF(B167=1,"The final cost is unknown until invoiced.","")</f>
        <v/>
      </c>
      <c r="H167" s="0" t="str">
        <f aca="false">IF(B167=1,"Ask for an indicative amount; tell the client it may be added.","")</f>
        <v/>
      </c>
      <c r="I167" s="0" t="str">
        <f aca="false">IF(B167=1,"","")</f>
        <v/>
      </c>
      <c r="J167" s="0" t="str">
        <f aca="false">IF(B167=1,D167*1000+ROW(),"")</f>
        <v/>
      </c>
      <c r="K167" s="0" t="str">
        <f aca="false">IF(AND(B167=1,C167="Question"),ROW(),"")</f>
        <v/>
      </c>
    </row>
    <row r="168" customFormat="false" ht="15" hidden="false" customHeight="false" outlineLevel="0" collapsed="false">
      <c r="A168" s="0" t="s">
        <v>438</v>
      </c>
      <c r="B168" s="0" t="n">
        <f aca="false">IFERROR(IF(LEFT($Q$14,5)="Error",1,0),0)</f>
        <v>0</v>
      </c>
      <c r="C168" s="0" t="str">
        <f aca="false">"Error"</f>
        <v>Error</v>
      </c>
      <c r="D168" s="0" t="n">
        <f aca="false">IF(C168="Error",1,IF(C168="Question",2,3))</f>
        <v>1</v>
      </c>
      <c r="E168" s="0" t="str">
        <f aca="false">IF(B168=1,"Line 13: "&amp;$B$14,"")</f>
        <v/>
      </c>
      <c r="F168" s="0" t="str">
        <f aca="false">IF(B168=1,"Line amount does not reconcile","")</f>
        <v/>
      </c>
      <c r="G168" s="0" t="str">
        <f aca="false">IF(B168=1,"Forwarder shows "&amp;TEXT($P$14,"#,##0.00")&amp;" vs calculated "&amp;TEXT($L$14,"#,##0.00")&amp;IF($Y$14&gt;0," before tax / "&amp;TEXT($M$14,"#,##0.00")&amp;" incl. tax","")&amp;" "&amp;$I$14,"")</f>
        <v/>
      </c>
      <c r="H168" s="0" t="str">
        <f aca="false">IF(B168=1,"Ask the forwarder to correct the amount or explain the difference.","")</f>
        <v/>
      </c>
      <c r="I168" s="0" t="str">
        <f aca="false">IF(B168=1,IF(ISNUMBER($J$14),ROUND($R$14*$J$14,2),""),"")</f>
        <v/>
      </c>
      <c r="J168" s="0" t="str">
        <f aca="false">IF(B168=1,D168*1000+ROW(),"")</f>
        <v/>
      </c>
      <c r="K168" s="0" t="str">
        <f aca="false">IF(AND(B168=1,C168="Question"),ROW(),"")</f>
        <v/>
      </c>
    </row>
    <row r="169" customFormat="false" ht="15" hidden="false" customHeight="false" outlineLevel="0" collapsed="false">
      <c r="A169" s="0" t="s">
        <v>439</v>
      </c>
      <c r="B169" s="0" t="n">
        <f aca="false">IFERROR(IF($S$14&gt;0,1,0),0)</f>
        <v>0</v>
      </c>
      <c r="C169" s="0" t="str">
        <f aca="false">"Error"</f>
        <v>Error</v>
      </c>
      <c r="D169" s="0" t="n">
        <f aca="false">IF(C169="Error",1,IF(C169="Question",2,3))</f>
        <v>1</v>
      </c>
      <c r="E169" s="0" t="str">
        <f aca="false">IF(B169=1,"Line 13: "&amp;$B$14,"")</f>
        <v/>
      </c>
      <c r="F169" s="0" t="str">
        <f aca="false">IF(B169=1,"Rate above the agreed rate","")</f>
        <v/>
      </c>
      <c r="G169" s="0" t="str">
        <f aca="false">IF(B169=1,"Quoted "&amp;TEXT($H$14,"#,##0.00##")&amp;" vs agreed "&amp;TEXT(Audit!$M$66,"#,##0.00##")&amp;" "&amp;Audit!$D$66,"")</f>
        <v/>
      </c>
      <c r="H169" s="0" t="str">
        <f aca="false">IF(B169=1,"Ask the forwarder to apply the agreed rate.","")</f>
        <v/>
      </c>
      <c r="I169" s="0" t="str">
        <f aca="false">IF(B169=1,$S$14,"")</f>
        <v/>
      </c>
      <c r="J169" s="0" t="str">
        <f aca="false">IF(B169=1,D169*1000+ROW(),"")</f>
        <v/>
      </c>
      <c r="K169" s="0" t="str">
        <f aca="false">IF(AND(B169=1,C169="Question"),ROW(),"")</f>
        <v/>
      </c>
    </row>
    <row r="170" customFormat="false" ht="15" hidden="false" customHeight="false" outlineLevel="0" collapsed="false">
      <c r="A170" s="0" t="s">
        <v>440</v>
      </c>
      <c r="B170" s="0" t="n">
        <f aca="false">IFERROR(IF($X$14&lt;&gt;"",1,0),0)</f>
        <v>0</v>
      </c>
      <c r="C170" s="0" t="str">
        <f aca="false">"Question"</f>
        <v>Question</v>
      </c>
      <c r="D170" s="0" t="n">
        <f aca="false">IF(C170="Error",1,IF(C170="Question",2,3))</f>
        <v>2</v>
      </c>
      <c r="E170" s="0" t="str">
        <f aca="false">IF(B170=1,"Line 13: "&amp;$B$14,"")</f>
        <v/>
      </c>
      <c r="F170" s="0" t="str">
        <f aca="false">IF(B170=1,IF($X$14="flag",INDEX(Lists!$B$21:$B$25,MATCH($T$14,Lists!$A$21:$A$25,0)),IF($X$14="status","Status missing",IF($X$14="basis","Charging unit not stated",IF($X$14="rate","Rate missing",IF($X$14="base","Base amount not stated",IF($X$14="unclass","Charge not explained",IF($X$14="dup","Possible duplicate (same name, same service)","Charge not in the rate agreement"))))))),"")</f>
        <v/>
      </c>
      <c r="G170" s="0" t="str">
        <f aca="false">IF(B170=1,IF($X$14="flag",IF(Audit!$O$66&lt;&gt;"",Audit!$O$66,INDEX(Lists!$C$21:$C$25,MATCH($T$14,Lists!$A$21:$A$25,0))),IF($X$14="status","No status entered for this line.",IF($X$14="basis","The quotation does not say per what unit this is charged.",IF($X$14="rate","No rate entered for a firm or estimated charge.",IF($X$14="base","A percentage charge needs the amount it is calculated on.",IF($X$14="unclass","The charge does not fit a standard category or its purpose is unclear.",IF($X$14="dup","The same charge name appears more than once in the same service.","A rate agreement was provided but has no rate for this charge."))))))),"")</f>
        <v/>
      </c>
      <c r="H170" s="0" t="str">
        <f aca="false">IF(B170=1,IF($X$14="flag",INDEX(Lists!$E$21:$E$25,MATCH($T$14,Lists!$A$21:$A$25,0)),IF($X$14="status","Set the line status.",IF($X$14="basis","Ask the forwarder for the charging unit (per container, per B/L, per CBM...).",IF($X$14="rate","Enter the rate, or set the status to At cost / TBC.",IF($X$14="base","Ask the forwarder for the base amount (e.g. customs value).",IF($X$14="unclass","Ask the forwarder what this charge covers.",IF($X$14="dup","Ask whether both lines are needed; remove the duplicate.","Ask why the charge is not in the agreement; check the contract."))))))),"")</f>
        <v/>
      </c>
      <c r="I170" s="0" t="str">
        <f aca="false">IF(B170=1,IF(OR($X$14="dup",AND($X$14="flag",IFERROR(INDEX(Lists!$G$21:$G$25,MATCH($T$14,Lists!$A$21:$A$25,0)),0)=1)),IF(ISNUMBER($N$14),$N$14,""),""),"")</f>
        <v/>
      </c>
      <c r="J170" s="0" t="str">
        <f aca="false">IF(B170=1,D170*1000+ROW(),"")</f>
        <v/>
      </c>
      <c r="K170" s="0" t="str">
        <f aca="false">IF(AND(B170=1,C170="Question"),ROW(),"")</f>
        <v/>
      </c>
    </row>
    <row r="171" customFormat="false" ht="15" hidden="false" customHeight="false" outlineLevel="0" collapsed="false">
      <c r="A171" s="0" t="s">
        <v>441</v>
      </c>
      <c r="B171" s="0" t="n">
        <f aca="false">IFERROR(IF(AND($W$14=1,$D$14&lt;&gt;"Duties &amp; taxes"),1,0),0)</f>
        <v>0</v>
      </c>
      <c r="C171" s="0" t="str">
        <f aca="false">"Risk"</f>
        <v>Risk</v>
      </c>
      <c r="D171" s="0" t="n">
        <f aca="false">IF(C171="Error",1,IF(C171="Question",2,3))</f>
        <v>3</v>
      </c>
      <c r="E171" s="0" t="str">
        <f aca="false">IF(B171=1,"Line 13: "&amp;$B$14,"")</f>
        <v/>
      </c>
      <c r="F171" s="0" t="str">
        <f aca="false">IF(B171=1,IF($F$14="TBC","Amount to be confirmed","Charged at cost - amount not quoted"),"")</f>
        <v/>
      </c>
      <c r="G171" s="0" t="str">
        <f aca="false">IF(B171=1,"The final cost is unknown until invoiced.","")</f>
        <v/>
      </c>
      <c r="H171" s="0" t="str">
        <f aca="false">IF(B171=1,"Ask for an indicative amount; tell the client it may be added.","")</f>
        <v/>
      </c>
      <c r="I171" s="0" t="str">
        <f aca="false">IF(B171=1,"","")</f>
        <v/>
      </c>
      <c r="J171" s="0" t="str">
        <f aca="false">IF(B171=1,D171*1000+ROW(),"")</f>
        <v/>
      </c>
      <c r="K171" s="0" t="str">
        <f aca="false">IF(AND(B171=1,C171="Question"),ROW(),"")</f>
        <v/>
      </c>
    </row>
    <row r="172" customFormat="false" ht="15" hidden="false" customHeight="false" outlineLevel="0" collapsed="false">
      <c r="A172" s="0" t="s">
        <v>442</v>
      </c>
      <c r="B172" s="0" t="n">
        <f aca="false">IFERROR(IF(LEFT($Q$15,5)="Error",1,0),0)</f>
        <v>0</v>
      </c>
      <c r="C172" s="0" t="str">
        <f aca="false">"Error"</f>
        <v>Error</v>
      </c>
      <c r="D172" s="0" t="n">
        <f aca="false">IF(C172="Error",1,IF(C172="Question",2,3))</f>
        <v>1</v>
      </c>
      <c r="E172" s="0" t="str">
        <f aca="false">IF(B172=1,"Line 14: "&amp;$B$15,"")</f>
        <v/>
      </c>
      <c r="F172" s="0" t="str">
        <f aca="false">IF(B172=1,"Line amount does not reconcile","")</f>
        <v/>
      </c>
      <c r="G172" s="0" t="str">
        <f aca="false">IF(B172=1,"Forwarder shows "&amp;TEXT($P$15,"#,##0.00")&amp;" vs calculated "&amp;TEXT($L$15,"#,##0.00")&amp;IF($Y$15&gt;0," before tax / "&amp;TEXT($M$15,"#,##0.00")&amp;" incl. tax","")&amp;" "&amp;$I$15,"")</f>
        <v/>
      </c>
      <c r="H172" s="0" t="str">
        <f aca="false">IF(B172=1,"Ask the forwarder to correct the amount or explain the difference.","")</f>
        <v/>
      </c>
      <c r="I172" s="0" t="str">
        <f aca="false">IF(B172=1,IF(ISNUMBER($J$15),ROUND($R$15*$J$15,2),""),"")</f>
        <v/>
      </c>
      <c r="J172" s="0" t="str">
        <f aca="false">IF(B172=1,D172*1000+ROW(),"")</f>
        <v/>
      </c>
      <c r="K172" s="0" t="str">
        <f aca="false">IF(AND(B172=1,C172="Question"),ROW(),"")</f>
        <v/>
      </c>
    </row>
    <row r="173" customFormat="false" ht="15" hidden="false" customHeight="false" outlineLevel="0" collapsed="false">
      <c r="A173" s="0" t="s">
        <v>443</v>
      </c>
      <c r="B173" s="0" t="n">
        <f aca="false">IFERROR(IF($S$15&gt;0,1,0),0)</f>
        <v>0</v>
      </c>
      <c r="C173" s="0" t="str">
        <f aca="false">"Error"</f>
        <v>Error</v>
      </c>
      <c r="D173" s="0" t="n">
        <f aca="false">IF(C173="Error",1,IF(C173="Question",2,3))</f>
        <v>1</v>
      </c>
      <c r="E173" s="0" t="str">
        <f aca="false">IF(B173=1,"Line 14: "&amp;$B$15,"")</f>
        <v/>
      </c>
      <c r="F173" s="0" t="str">
        <f aca="false">IF(B173=1,"Rate above the agreed rate","")</f>
        <v/>
      </c>
      <c r="G173" s="0" t="str">
        <f aca="false">IF(B173=1,"Quoted "&amp;TEXT($H$15,"#,##0.00##")&amp;" vs agreed "&amp;TEXT(Audit!$M$67,"#,##0.00##")&amp;" "&amp;Audit!$D$67,"")</f>
        <v/>
      </c>
      <c r="H173" s="0" t="str">
        <f aca="false">IF(B173=1,"Ask the forwarder to apply the agreed rate.","")</f>
        <v/>
      </c>
      <c r="I173" s="0" t="str">
        <f aca="false">IF(B173=1,$S$15,"")</f>
        <v/>
      </c>
      <c r="J173" s="0" t="str">
        <f aca="false">IF(B173=1,D173*1000+ROW(),"")</f>
        <v/>
      </c>
      <c r="K173" s="0" t="str">
        <f aca="false">IF(AND(B173=1,C173="Question"),ROW(),"")</f>
        <v/>
      </c>
    </row>
    <row r="174" customFormat="false" ht="15" hidden="false" customHeight="false" outlineLevel="0" collapsed="false">
      <c r="A174" s="0" t="s">
        <v>444</v>
      </c>
      <c r="B174" s="0" t="n">
        <f aca="false">IFERROR(IF($X$15&lt;&gt;"",1,0),0)</f>
        <v>0</v>
      </c>
      <c r="C174" s="0" t="str">
        <f aca="false">"Question"</f>
        <v>Question</v>
      </c>
      <c r="D174" s="0" t="n">
        <f aca="false">IF(C174="Error",1,IF(C174="Question",2,3))</f>
        <v>2</v>
      </c>
      <c r="E174" s="0" t="str">
        <f aca="false">IF(B174=1,"Line 14: "&amp;$B$15,"")</f>
        <v/>
      </c>
      <c r="F174" s="0" t="str">
        <f aca="false">IF(B174=1,IF($X$15="flag",INDEX(Lists!$B$21:$B$25,MATCH($T$15,Lists!$A$21:$A$25,0)),IF($X$15="status","Status missing",IF($X$15="basis","Charging unit not stated",IF($X$15="rate","Rate missing",IF($X$15="base","Base amount not stated",IF($X$15="unclass","Charge not explained",IF($X$15="dup","Possible duplicate (same name, same service)","Charge not in the rate agreement"))))))),"")</f>
        <v/>
      </c>
      <c r="G174" s="0" t="str">
        <f aca="false">IF(B174=1,IF($X$15="flag",IF(Audit!$O$67&lt;&gt;"",Audit!$O$67,INDEX(Lists!$C$21:$C$25,MATCH($T$15,Lists!$A$21:$A$25,0))),IF($X$15="status","No status entered for this line.",IF($X$15="basis","The quotation does not say per what unit this is charged.",IF($X$15="rate","No rate entered for a firm or estimated charge.",IF($X$15="base","A percentage charge needs the amount it is calculated on.",IF($X$15="unclass","The charge does not fit a standard category or its purpose is unclear.",IF($X$15="dup","The same charge name appears more than once in the same service.","A rate agreement was provided but has no rate for this charge."))))))),"")</f>
        <v/>
      </c>
      <c r="H174" s="0" t="str">
        <f aca="false">IF(B174=1,IF($X$15="flag",INDEX(Lists!$E$21:$E$25,MATCH($T$15,Lists!$A$21:$A$25,0)),IF($X$15="status","Set the line status.",IF($X$15="basis","Ask the forwarder for the charging unit (per container, per B/L, per CBM...).",IF($X$15="rate","Enter the rate, or set the status to At cost / TBC.",IF($X$15="base","Ask the forwarder for the base amount (e.g. customs value).",IF($X$15="unclass","Ask the forwarder what this charge covers.",IF($X$15="dup","Ask whether both lines are needed; remove the duplicate.","Ask why the charge is not in the agreement; check the contract."))))))),"")</f>
        <v/>
      </c>
      <c r="I174" s="0" t="str">
        <f aca="false">IF(B174=1,IF(OR($X$15="dup",AND($X$15="flag",IFERROR(INDEX(Lists!$G$21:$G$25,MATCH($T$15,Lists!$A$21:$A$25,0)),0)=1)),IF(ISNUMBER($N$15),$N$15,""),""),"")</f>
        <v/>
      </c>
      <c r="J174" s="0" t="str">
        <f aca="false">IF(B174=1,D174*1000+ROW(),"")</f>
        <v/>
      </c>
      <c r="K174" s="0" t="str">
        <f aca="false">IF(AND(B174=1,C174="Question"),ROW(),"")</f>
        <v/>
      </c>
    </row>
    <row r="175" customFormat="false" ht="15" hidden="false" customHeight="false" outlineLevel="0" collapsed="false">
      <c r="A175" s="0" t="s">
        <v>445</v>
      </c>
      <c r="B175" s="0" t="n">
        <f aca="false">IFERROR(IF(AND($W$15=1,$D$15&lt;&gt;"Duties &amp; taxes"),1,0),0)</f>
        <v>0</v>
      </c>
      <c r="C175" s="0" t="str">
        <f aca="false">"Risk"</f>
        <v>Risk</v>
      </c>
      <c r="D175" s="0" t="n">
        <f aca="false">IF(C175="Error",1,IF(C175="Question",2,3))</f>
        <v>3</v>
      </c>
      <c r="E175" s="0" t="str">
        <f aca="false">IF(B175=1,"Line 14: "&amp;$B$15,"")</f>
        <v/>
      </c>
      <c r="F175" s="0" t="str">
        <f aca="false">IF(B175=1,IF($F$15="TBC","Amount to be confirmed","Charged at cost - amount not quoted"),"")</f>
        <v/>
      </c>
      <c r="G175" s="0" t="str">
        <f aca="false">IF(B175=1,"The final cost is unknown until invoiced.","")</f>
        <v/>
      </c>
      <c r="H175" s="0" t="str">
        <f aca="false">IF(B175=1,"Ask for an indicative amount; tell the client it may be added.","")</f>
        <v/>
      </c>
      <c r="I175" s="0" t="str">
        <f aca="false">IF(B175=1,"","")</f>
        <v/>
      </c>
      <c r="J175" s="0" t="str">
        <f aca="false">IF(B175=1,D175*1000+ROW(),"")</f>
        <v/>
      </c>
      <c r="K175" s="0" t="str">
        <f aca="false">IF(AND(B175=1,C175="Question"),ROW(),"")</f>
        <v/>
      </c>
    </row>
    <row r="176" customFormat="false" ht="15" hidden="false" customHeight="false" outlineLevel="0" collapsed="false">
      <c r="A176" s="0" t="s">
        <v>446</v>
      </c>
      <c r="B176" s="0" t="n">
        <f aca="false">IFERROR(IF(LEFT($Q$16,5)="Error",1,0),0)</f>
        <v>0</v>
      </c>
      <c r="C176" s="0" t="str">
        <f aca="false">"Error"</f>
        <v>Error</v>
      </c>
      <c r="D176" s="0" t="n">
        <f aca="false">IF(C176="Error",1,IF(C176="Question",2,3))</f>
        <v>1</v>
      </c>
      <c r="E176" s="0" t="str">
        <f aca="false">IF(B176=1,"Line 15: "&amp;$B$16,"")</f>
        <v/>
      </c>
      <c r="F176" s="0" t="str">
        <f aca="false">IF(B176=1,"Line amount does not reconcile","")</f>
        <v/>
      </c>
      <c r="G176" s="0" t="str">
        <f aca="false">IF(B176=1,"Forwarder shows "&amp;TEXT($P$16,"#,##0.00")&amp;" vs calculated "&amp;TEXT($L$16,"#,##0.00")&amp;IF($Y$16&gt;0," before tax / "&amp;TEXT($M$16,"#,##0.00")&amp;" incl. tax","")&amp;" "&amp;$I$16,"")</f>
        <v/>
      </c>
      <c r="H176" s="0" t="str">
        <f aca="false">IF(B176=1,"Ask the forwarder to correct the amount or explain the difference.","")</f>
        <v/>
      </c>
      <c r="I176" s="0" t="str">
        <f aca="false">IF(B176=1,IF(ISNUMBER($J$16),ROUND($R$16*$J$16,2),""),"")</f>
        <v/>
      </c>
      <c r="J176" s="0" t="str">
        <f aca="false">IF(B176=1,D176*1000+ROW(),"")</f>
        <v/>
      </c>
      <c r="K176" s="0" t="str">
        <f aca="false">IF(AND(B176=1,C176="Question"),ROW(),"")</f>
        <v/>
      </c>
    </row>
    <row r="177" customFormat="false" ht="15" hidden="false" customHeight="false" outlineLevel="0" collapsed="false">
      <c r="A177" s="0" t="s">
        <v>447</v>
      </c>
      <c r="B177" s="0" t="n">
        <f aca="false">IFERROR(IF($S$16&gt;0,1,0),0)</f>
        <v>0</v>
      </c>
      <c r="C177" s="0" t="str">
        <f aca="false">"Error"</f>
        <v>Error</v>
      </c>
      <c r="D177" s="0" t="n">
        <f aca="false">IF(C177="Error",1,IF(C177="Question",2,3))</f>
        <v>1</v>
      </c>
      <c r="E177" s="0" t="str">
        <f aca="false">IF(B177=1,"Line 15: "&amp;$B$16,"")</f>
        <v/>
      </c>
      <c r="F177" s="0" t="str">
        <f aca="false">IF(B177=1,"Rate above the agreed rate","")</f>
        <v/>
      </c>
      <c r="G177" s="0" t="str">
        <f aca="false">IF(B177=1,"Quoted "&amp;TEXT($H$16,"#,##0.00##")&amp;" vs agreed "&amp;TEXT(Audit!$M$68,"#,##0.00##")&amp;" "&amp;Audit!$D$68,"")</f>
        <v/>
      </c>
      <c r="H177" s="0" t="str">
        <f aca="false">IF(B177=1,"Ask the forwarder to apply the agreed rate.","")</f>
        <v/>
      </c>
      <c r="I177" s="0" t="str">
        <f aca="false">IF(B177=1,$S$16,"")</f>
        <v/>
      </c>
      <c r="J177" s="0" t="str">
        <f aca="false">IF(B177=1,D177*1000+ROW(),"")</f>
        <v/>
      </c>
      <c r="K177" s="0" t="str">
        <f aca="false">IF(AND(B177=1,C177="Question"),ROW(),"")</f>
        <v/>
      </c>
    </row>
    <row r="178" customFormat="false" ht="15" hidden="false" customHeight="false" outlineLevel="0" collapsed="false">
      <c r="A178" s="0" t="s">
        <v>448</v>
      </c>
      <c r="B178" s="0" t="n">
        <f aca="false">IFERROR(IF($X$16&lt;&gt;"",1,0),0)</f>
        <v>0</v>
      </c>
      <c r="C178" s="0" t="str">
        <f aca="false">"Question"</f>
        <v>Question</v>
      </c>
      <c r="D178" s="0" t="n">
        <f aca="false">IF(C178="Error",1,IF(C178="Question",2,3))</f>
        <v>2</v>
      </c>
      <c r="E178" s="0" t="str">
        <f aca="false">IF(B178=1,"Line 15: "&amp;$B$16,"")</f>
        <v/>
      </c>
      <c r="F178" s="0" t="str">
        <f aca="false">IF(B178=1,IF($X$16="flag",INDEX(Lists!$B$21:$B$25,MATCH($T$16,Lists!$A$21:$A$25,0)),IF($X$16="status","Status missing",IF($X$16="basis","Charging unit not stated",IF($X$16="rate","Rate missing",IF($X$16="base","Base amount not stated",IF($X$16="unclass","Charge not explained",IF($X$16="dup","Possible duplicate (same name, same service)","Charge not in the rate agreement"))))))),"")</f>
        <v/>
      </c>
      <c r="G178" s="0" t="str">
        <f aca="false">IF(B178=1,IF($X$16="flag",IF(Audit!$O$68&lt;&gt;"",Audit!$O$68,INDEX(Lists!$C$21:$C$25,MATCH($T$16,Lists!$A$21:$A$25,0))),IF($X$16="status","No status entered for this line.",IF($X$16="basis","The quotation does not say per what unit this is charged.",IF($X$16="rate","No rate entered for a firm or estimated charge.",IF($X$16="base","A percentage charge needs the amount it is calculated on.",IF($X$16="unclass","The charge does not fit a standard category or its purpose is unclear.",IF($X$16="dup","The same charge name appears more than once in the same service.","A rate agreement was provided but has no rate for this charge."))))))),"")</f>
        <v/>
      </c>
      <c r="H178" s="0" t="str">
        <f aca="false">IF(B178=1,IF($X$16="flag",INDEX(Lists!$E$21:$E$25,MATCH($T$16,Lists!$A$21:$A$25,0)),IF($X$16="status","Set the line status.",IF($X$16="basis","Ask the forwarder for the charging unit (per container, per B/L, per CBM...).",IF($X$16="rate","Enter the rate, or set the status to At cost / TBC.",IF($X$16="base","Ask the forwarder for the base amount (e.g. customs value).",IF($X$16="unclass","Ask the forwarder what this charge covers.",IF($X$16="dup","Ask whether both lines are needed; remove the duplicate.","Ask why the charge is not in the agreement; check the contract."))))))),"")</f>
        <v/>
      </c>
      <c r="I178" s="0" t="str">
        <f aca="false">IF(B178=1,IF(OR($X$16="dup",AND($X$16="flag",IFERROR(INDEX(Lists!$G$21:$G$25,MATCH($T$16,Lists!$A$21:$A$25,0)),0)=1)),IF(ISNUMBER($N$16),$N$16,""),""),"")</f>
        <v/>
      </c>
      <c r="J178" s="0" t="str">
        <f aca="false">IF(B178=1,D178*1000+ROW(),"")</f>
        <v/>
      </c>
      <c r="K178" s="0" t="str">
        <f aca="false">IF(AND(B178=1,C178="Question"),ROW(),"")</f>
        <v/>
      </c>
    </row>
    <row r="179" customFormat="false" ht="15" hidden="false" customHeight="false" outlineLevel="0" collapsed="false">
      <c r="A179" s="0" t="s">
        <v>449</v>
      </c>
      <c r="B179" s="0" t="n">
        <f aca="false">IFERROR(IF(AND($W$16=1,$D$16&lt;&gt;"Duties &amp; taxes"),1,0),0)</f>
        <v>0</v>
      </c>
      <c r="C179" s="0" t="str">
        <f aca="false">"Risk"</f>
        <v>Risk</v>
      </c>
      <c r="D179" s="0" t="n">
        <f aca="false">IF(C179="Error",1,IF(C179="Question",2,3))</f>
        <v>3</v>
      </c>
      <c r="E179" s="0" t="str">
        <f aca="false">IF(B179=1,"Line 15: "&amp;$B$16,"")</f>
        <v/>
      </c>
      <c r="F179" s="0" t="str">
        <f aca="false">IF(B179=1,IF($F$16="TBC","Amount to be confirmed","Charged at cost - amount not quoted"),"")</f>
        <v/>
      </c>
      <c r="G179" s="0" t="str">
        <f aca="false">IF(B179=1,"The final cost is unknown until invoiced.","")</f>
        <v/>
      </c>
      <c r="H179" s="0" t="str">
        <f aca="false">IF(B179=1,"Ask for an indicative amount; tell the client it may be added.","")</f>
        <v/>
      </c>
      <c r="I179" s="0" t="str">
        <f aca="false">IF(B179=1,"","")</f>
        <v/>
      </c>
      <c r="J179" s="0" t="str">
        <f aca="false">IF(B179=1,D179*1000+ROW(),"")</f>
        <v/>
      </c>
      <c r="K179" s="0" t="str">
        <f aca="false">IF(AND(B179=1,C179="Question"),ROW(),"")</f>
        <v/>
      </c>
    </row>
    <row r="180" customFormat="false" ht="15" hidden="false" customHeight="false" outlineLevel="0" collapsed="false">
      <c r="A180" s="0" t="s">
        <v>450</v>
      </c>
      <c r="B180" s="0" t="n">
        <f aca="false">IFERROR(IF(LEFT($Q$17,5)="Error",1,0),0)</f>
        <v>0</v>
      </c>
      <c r="C180" s="0" t="str">
        <f aca="false">"Error"</f>
        <v>Error</v>
      </c>
      <c r="D180" s="0" t="n">
        <f aca="false">IF(C180="Error",1,IF(C180="Question",2,3))</f>
        <v>1</v>
      </c>
      <c r="E180" s="0" t="str">
        <f aca="false">IF(B180=1,"Line 16: "&amp;$B$17,"")</f>
        <v/>
      </c>
      <c r="F180" s="0" t="str">
        <f aca="false">IF(B180=1,"Line amount does not reconcile","")</f>
        <v/>
      </c>
      <c r="G180" s="0" t="str">
        <f aca="false">IF(B180=1,"Forwarder shows "&amp;TEXT($P$17,"#,##0.00")&amp;" vs calculated "&amp;TEXT($L$17,"#,##0.00")&amp;IF($Y$17&gt;0," before tax / "&amp;TEXT($M$17,"#,##0.00")&amp;" incl. tax","")&amp;" "&amp;$I$17,"")</f>
        <v/>
      </c>
      <c r="H180" s="0" t="str">
        <f aca="false">IF(B180=1,"Ask the forwarder to correct the amount or explain the difference.","")</f>
        <v/>
      </c>
      <c r="I180" s="0" t="str">
        <f aca="false">IF(B180=1,IF(ISNUMBER($J$17),ROUND($R$17*$J$17,2),""),"")</f>
        <v/>
      </c>
      <c r="J180" s="0" t="str">
        <f aca="false">IF(B180=1,D180*1000+ROW(),"")</f>
        <v/>
      </c>
      <c r="K180" s="0" t="str">
        <f aca="false">IF(AND(B180=1,C180="Question"),ROW(),"")</f>
        <v/>
      </c>
    </row>
    <row r="181" customFormat="false" ht="15" hidden="false" customHeight="false" outlineLevel="0" collapsed="false">
      <c r="A181" s="0" t="s">
        <v>451</v>
      </c>
      <c r="B181" s="0" t="n">
        <f aca="false">IFERROR(IF($S$17&gt;0,1,0),0)</f>
        <v>0</v>
      </c>
      <c r="C181" s="0" t="str">
        <f aca="false">"Error"</f>
        <v>Error</v>
      </c>
      <c r="D181" s="0" t="n">
        <f aca="false">IF(C181="Error",1,IF(C181="Question",2,3))</f>
        <v>1</v>
      </c>
      <c r="E181" s="0" t="str">
        <f aca="false">IF(B181=1,"Line 16: "&amp;$B$17,"")</f>
        <v/>
      </c>
      <c r="F181" s="0" t="str">
        <f aca="false">IF(B181=1,"Rate above the agreed rate","")</f>
        <v/>
      </c>
      <c r="G181" s="0" t="str">
        <f aca="false">IF(B181=1,"Quoted "&amp;TEXT($H$17,"#,##0.00##")&amp;" vs agreed "&amp;TEXT(Audit!$M$69,"#,##0.00##")&amp;" "&amp;Audit!$D$69,"")</f>
        <v/>
      </c>
      <c r="H181" s="0" t="str">
        <f aca="false">IF(B181=1,"Ask the forwarder to apply the agreed rate.","")</f>
        <v/>
      </c>
      <c r="I181" s="0" t="str">
        <f aca="false">IF(B181=1,$S$17,"")</f>
        <v/>
      </c>
      <c r="J181" s="0" t="str">
        <f aca="false">IF(B181=1,D181*1000+ROW(),"")</f>
        <v/>
      </c>
      <c r="K181" s="0" t="str">
        <f aca="false">IF(AND(B181=1,C181="Question"),ROW(),"")</f>
        <v/>
      </c>
    </row>
    <row r="182" customFormat="false" ht="15" hidden="false" customHeight="false" outlineLevel="0" collapsed="false">
      <c r="A182" s="0" t="s">
        <v>452</v>
      </c>
      <c r="B182" s="0" t="n">
        <f aca="false">IFERROR(IF($X$17&lt;&gt;"",1,0),0)</f>
        <v>0</v>
      </c>
      <c r="C182" s="0" t="str">
        <f aca="false">"Question"</f>
        <v>Question</v>
      </c>
      <c r="D182" s="0" t="n">
        <f aca="false">IF(C182="Error",1,IF(C182="Question",2,3))</f>
        <v>2</v>
      </c>
      <c r="E182" s="0" t="str">
        <f aca="false">IF(B182=1,"Line 16: "&amp;$B$17,"")</f>
        <v/>
      </c>
      <c r="F182" s="0" t="str">
        <f aca="false">IF(B182=1,IF($X$17="flag",INDEX(Lists!$B$21:$B$25,MATCH($T$17,Lists!$A$21:$A$25,0)),IF($X$17="status","Status missing",IF($X$17="basis","Charging unit not stated",IF($X$17="rate","Rate missing",IF($X$17="base","Base amount not stated",IF($X$17="unclass","Charge not explained",IF($X$17="dup","Possible duplicate (same name, same service)","Charge not in the rate agreement"))))))),"")</f>
        <v/>
      </c>
      <c r="G182" s="0" t="str">
        <f aca="false">IF(B182=1,IF($X$17="flag",IF(Audit!$O$69&lt;&gt;"",Audit!$O$69,INDEX(Lists!$C$21:$C$25,MATCH($T$17,Lists!$A$21:$A$25,0))),IF($X$17="status","No status entered for this line.",IF($X$17="basis","The quotation does not say per what unit this is charged.",IF($X$17="rate","No rate entered for a firm or estimated charge.",IF($X$17="base","A percentage charge needs the amount it is calculated on.",IF($X$17="unclass","The charge does not fit a standard category or its purpose is unclear.",IF($X$17="dup","The same charge name appears more than once in the same service.","A rate agreement was provided but has no rate for this charge."))))))),"")</f>
        <v/>
      </c>
      <c r="H182" s="0" t="str">
        <f aca="false">IF(B182=1,IF($X$17="flag",INDEX(Lists!$E$21:$E$25,MATCH($T$17,Lists!$A$21:$A$25,0)),IF($X$17="status","Set the line status.",IF($X$17="basis","Ask the forwarder for the charging unit (per container, per B/L, per CBM...).",IF($X$17="rate","Enter the rate, or set the status to At cost / TBC.",IF($X$17="base","Ask the forwarder for the base amount (e.g. customs value).",IF($X$17="unclass","Ask the forwarder what this charge covers.",IF($X$17="dup","Ask whether both lines are needed; remove the duplicate.","Ask why the charge is not in the agreement; check the contract."))))))),"")</f>
        <v/>
      </c>
      <c r="I182" s="0" t="str">
        <f aca="false">IF(B182=1,IF(OR($X$17="dup",AND($X$17="flag",IFERROR(INDEX(Lists!$G$21:$G$25,MATCH($T$17,Lists!$A$21:$A$25,0)),0)=1)),IF(ISNUMBER($N$17),$N$17,""),""),"")</f>
        <v/>
      </c>
      <c r="J182" s="0" t="str">
        <f aca="false">IF(B182=1,D182*1000+ROW(),"")</f>
        <v/>
      </c>
      <c r="K182" s="0" t="str">
        <f aca="false">IF(AND(B182=1,C182="Question"),ROW(),"")</f>
        <v/>
      </c>
    </row>
    <row r="183" customFormat="false" ht="15" hidden="false" customHeight="false" outlineLevel="0" collapsed="false">
      <c r="A183" s="0" t="s">
        <v>453</v>
      </c>
      <c r="B183" s="0" t="n">
        <f aca="false">IFERROR(IF(AND($W$17=1,$D$17&lt;&gt;"Duties &amp; taxes"),1,0),0)</f>
        <v>0</v>
      </c>
      <c r="C183" s="0" t="str">
        <f aca="false">"Risk"</f>
        <v>Risk</v>
      </c>
      <c r="D183" s="0" t="n">
        <f aca="false">IF(C183="Error",1,IF(C183="Question",2,3))</f>
        <v>3</v>
      </c>
      <c r="E183" s="0" t="str">
        <f aca="false">IF(B183=1,"Line 16: "&amp;$B$17,"")</f>
        <v/>
      </c>
      <c r="F183" s="0" t="str">
        <f aca="false">IF(B183=1,IF($F$17="TBC","Amount to be confirmed","Charged at cost - amount not quoted"),"")</f>
        <v/>
      </c>
      <c r="G183" s="0" t="str">
        <f aca="false">IF(B183=1,"The final cost is unknown until invoiced.","")</f>
        <v/>
      </c>
      <c r="H183" s="0" t="str">
        <f aca="false">IF(B183=1,"Ask for an indicative amount; tell the client it may be added.","")</f>
        <v/>
      </c>
      <c r="I183" s="0" t="str">
        <f aca="false">IF(B183=1,"","")</f>
        <v/>
      </c>
      <c r="J183" s="0" t="str">
        <f aca="false">IF(B183=1,D183*1000+ROW(),"")</f>
        <v/>
      </c>
      <c r="K183" s="0" t="str">
        <f aca="false">IF(AND(B183=1,C183="Question"),ROW(),"")</f>
        <v/>
      </c>
    </row>
    <row r="184" customFormat="false" ht="15" hidden="false" customHeight="false" outlineLevel="0" collapsed="false">
      <c r="A184" s="0" t="s">
        <v>454</v>
      </c>
      <c r="B184" s="0" t="n">
        <f aca="false">IFERROR(IF(LEFT($Q$18,5)="Error",1,0),0)</f>
        <v>0</v>
      </c>
      <c r="C184" s="0" t="str">
        <f aca="false">"Error"</f>
        <v>Error</v>
      </c>
      <c r="D184" s="0" t="n">
        <f aca="false">IF(C184="Error",1,IF(C184="Question",2,3))</f>
        <v>1</v>
      </c>
      <c r="E184" s="0" t="str">
        <f aca="false">IF(B184=1,"Line 17: "&amp;$B$18,"")</f>
        <v/>
      </c>
      <c r="F184" s="0" t="str">
        <f aca="false">IF(B184=1,"Line amount does not reconcile","")</f>
        <v/>
      </c>
      <c r="G184" s="0" t="str">
        <f aca="false">IF(B184=1,"Forwarder shows "&amp;TEXT($P$18,"#,##0.00")&amp;" vs calculated "&amp;TEXT($L$18,"#,##0.00")&amp;IF($Y$18&gt;0," before tax / "&amp;TEXT($M$18,"#,##0.00")&amp;" incl. tax","")&amp;" "&amp;$I$18,"")</f>
        <v/>
      </c>
      <c r="H184" s="0" t="str">
        <f aca="false">IF(B184=1,"Ask the forwarder to correct the amount or explain the difference.","")</f>
        <v/>
      </c>
      <c r="I184" s="0" t="str">
        <f aca="false">IF(B184=1,IF(ISNUMBER($J$18),ROUND($R$18*$J$18,2),""),"")</f>
        <v/>
      </c>
      <c r="J184" s="0" t="str">
        <f aca="false">IF(B184=1,D184*1000+ROW(),"")</f>
        <v/>
      </c>
      <c r="K184" s="0" t="str">
        <f aca="false">IF(AND(B184=1,C184="Question"),ROW(),"")</f>
        <v/>
      </c>
    </row>
    <row r="185" customFormat="false" ht="15" hidden="false" customHeight="false" outlineLevel="0" collapsed="false">
      <c r="A185" s="0" t="s">
        <v>455</v>
      </c>
      <c r="B185" s="0" t="n">
        <f aca="false">IFERROR(IF($S$18&gt;0,1,0),0)</f>
        <v>0</v>
      </c>
      <c r="C185" s="0" t="str">
        <f aca="false">"Error"</f>
        <v>Error</v>
      </c>
      <c r="D185" s="0" t="n">
        <f aca="false">IF(C185="Error",1,IF(C185="Question",2,3))</f>
        <v>1</v>
      </c>
      <c r="E185" s="0" t="str">
        <f aca="false">IF(B185=1,"Line 17: "&amp;$B$18,"")</f>
        <v/>
      </c>
      <c r="F185" s="0" t="str">
        <f aca="false">IF(B185=1,"Rate above the agreed rate","")</f>
        <v/>
      </c>
      <c r="G185" s="0" t="str">
        <f aca="false">IF(B185=1,"Quoted "&amp;TEXT($H$18,"#,##0.00##")&amp;" vs agreed "&amp;TEXT(Audit!$M$70,"#,##0.00##")&amp;" "&amp;Audit!$D$70,"")</f>
        <v/>
      </c>
      <c r="H185" s="0" t="str">
        <f aca="false">IF(B185=1,"Ask the forwarder to apply the agreed rate.","")</f>
        <v/>
      </c>
      <c r="I185" s="0" t="str">
        <f aca="false">IF(B185=1,$S$18,"")</f>
        <v/>
      </c>
      <c r="J185" s="0" t="str">
        <f aca="false">IF(B185=1,D185*1000+ROW(),"")</f>
        <v/>
      </c>
      <c r="K185" s="0" t="str">
        <f aca="false">IF(AND(B185=1,C185="Question"),ROW(),"")</f>
        <v/>
      </c>
    </row>
    <row r="186" customFormat="false" ht="15" hidden="false" customHeight="false" outlineLevel="0" collapsed="false">
      <c r="A186" s="0" t="s">
        <v>456</v>
      </c>
      <c r="B186" s="0" t="n">
        <f aca="false">IFERROR(IF($X$18&lt;&gt;"",1,0),0)</f>
        <v>0</v>
      </c>
      <c r="C186" s="0" t="str">
        <f aca="false">"Question"</f>
        <v>Question</v>
      </c>
      <c r="D186" s="0" t="n">
        <f aca="false">IF(C186="Error",1,IF(C186="Question",2,3))</f>
        <v>2</v>
      </c>
      <c r="E186" s="0" t="str">
        <f aca="false">IF(B186=1,"Line 17: "&amp;$B$18,"")</f>
        <v/>
      </c>
      <c r="F186" s="0" t="str">
        <f aca="false">IF(B186=1,IF($X$18="flag",INDEX(Lists!$B$21:$B$25,MATCH($T$18,Lists!$A$21:$A$25,0)),IF($X$18="status","Status missing",IF($X$18="basis","Charging unit not stated",IF($X$18="rate","Rate missing",IF($X$18="base","Base amount not stated",IF($X$18="unclass","Charge not explained",IF($X$18="dup","Possible duplicate (same name, same service)","Charge not in the rate agreement"))))))),"")</f>
        <v/>
      </c>
      <c r="G186" s="0" t="str">
        <f aca="false">IF(B186=1,IF($X$18="flag",IF(Audit!$O$70&lt;&gt;"",Audit!$O$70,INDEX(Lists!$C$21:$C$25,MATCH($T$18,Lists!$A$21:$A$25,0))),IF($X$18="status","No status entered for this line.",IF($X$18="basis","The quotation does not say per what unit this is charged.",IF($X$18="rate","No rate entered for a firm or estimated charge.",IF($X$18="base","A percentage charge needs the amount it is calculated on.",IF($X$18="unclass","The charge does not fit a standard category or its purpose is unclear.",IF($X$18="dup","The same charge name appears more than once in the same service.","A rate agreement was provided but has no rate for this charge."))))))),"")</f>
        <v/>
      </c>
      <c r="H186" s="0" t="str">
        <f aca="false">IF(B186=1,IF($X$18="flag",INDEX(Lists!$E$21:$E$25,MATCH($T$18,Lists!$A$21:$A$25,0)),IF($X$18="status","Set the line status.",IF($X$18="basis","Ask the forwarder for the charging unit (per container, per B/L, per CBM...).",IF($X$18="rate","Enter the rate, or set the status to At cost / TBC.",IF($X$18="base","Ask the forwarder for the base amount (e.g. customs value).",IF($X$18="unclass","Ask the forwarder what this charge covers.",IF($X$18="dup","Ask whether both lines are needed; remove the duplicate.","Ask why the charge is not in the agreement; check the contract."))))))),"")</f>
        <v/>
      </c>
      <c r="I186" s="0" t="str">
        <f aca="false">IF(B186=1,IF(OR($X$18="dup",AND($X$18="flag",IFERROR(INDEX(Lists!$G$21:$G$25,MATCH($T$18,Lists!$A$21:$A$25,0)),0)=1)),IF(ISNUMBER($N$18),$N$18,""),""),"")</f>
        <v/>
      </c>
      <c r="J186" s="0" t="str">
        <f aca="false">IF(B186=1,D186*1000+ROW(),"")</f>
        <v/>
      </c>
      <c r="K186" s="0" t="str">
        <f aca="false">IF(AND(B186=1,C186="Question"),ROW(),"")</f>
        <v/>
      </c>
    </row>
    <row r="187" customFormat="false" ht="15" hidden="false" customHeight="false" outlineLevel="0" collapsed="false">
      <c r="A187" s="0" t="s">
        <v>457</v>
      </c>
      <c r="B187" s="0" t="n">
        <f aca="false">IFERROR(IF(AND($W$18=1,$D$18&lt;&gt;"Duties &amp; taxes"),1,0),0)</f>
        <v>0</v>
      </c>
      <c r="C187" s="0" t="str">
        <f aca="false">"Risk"</f>
        <v>Risk</v>
      </c>
      <c r="D187" s="0" t="n">
        <f aca="false">IF(C187="Error",1,IF(C187="Question",2,3))</f>
        <v>3</v>
      </c>
      <c r="E187" s="0" t="str">
        <f aca="false">IF(B187=1,"Line 17: "&amp;$B$18,"")</f>
        <v/>
      </c>
      <c r="F187" s="0" t="str">
        <f aca="false">IF(B187=1,IF($F$18="TBC","Amount to be confirmed","Charged at cost - amount not quoted"),"")</f>
        <v/>
      </c>
      <c r="G187" s="0" t="str">
        <f aca="false">IF(B187=1,"The final cost is unknown until invoiced.","")</f>
        <v/>
      </c>
      <c r="H187" s="0" t="str">
        <f aca="false">IF(B187=1,"Ask for an indicative amount; tell the client it may be added.","")</f>
        <v/>
      </c>
      <c r="I187" s="0" t="str">
        <f aca="false">IF(B187=1,"","")</f>
        <v/>
      </c>
      <c r="J187" s="0" t="str">
        <f aca="false">IF(B187=1,D187*1000+ROW(),"")</f>
        <v/>
      </c>
      <c r="K187" s="0" t="str">
        <f aca="false">IF(AND(B187=1,C187="Question"),ROW(),"")</f>
        <v/>
      </c>
    </row>
    <row r="188" customFormat="false" ht="15" hidden="false" customHeight="false" outlineLevel="0" collapsed="false">
      <c r="A188" s="0" t="s">
        <v>458</v>
      </c>
      <c r="B188" s="0" t="n">
        <f aca="false">IFERROR(IF(LEFT($Q$19,5)="Error",1,0),0)</f>
        <v>0</v>
      </c>
      <c r="C188" s="0" t="str">
        <f aca="false">"Error"</f>
        <v>Error</v>
      </c>
      <c r="D188" s="0" t="n">
        <f aca="false">IF(C188="Error",1,IF(C188="Question",2,3))</f>
        <v>1</v>
      </c>
      <c r="E188" s="0" t="str">
        <f aca="false">IF(B188=1,"Line 18: "&amp;$B$19,"")</f>
        <v/>
      </c>
      <c r="F188" s="0" t="str">
        <f aca="false">IF(B188=1,"Line amount does not reconcile","")</f>
        <v/>
      </c>
      <c r="G188" s="0" t="str">
        <f aca="false">IF(B188=1,"Forwarder shows "&amp;TEXT($P$19,"#,##0.00")&amp;" vs calculated "&amp;TEXT($L$19,"#,##0.00")&amp;IF($Y$19&gt;0," before tax / "&amp;TEXT($M$19,"#,##0.00")&amp;" incl. tax","")&amp;" "&amp;$I$19,"")</f>
        <v/>
      </c>
      <c r="H188" s="0" t="str">
        <f aca="false">IF(B188=1,"Ask the forwarder to correct the amount or explain the difference.","")</f>
        <v/>
      </c>
      <c r="I188" s="0" t="str">
        <f aca="false">IF(B188=1,IF(ISNUMBER($J$19),ROUND($R$19*$J$19,2),""),"")</f>
        <v/>
      </c>
      <c r="J188" s="0" t="str">
        <f aca="false">IF(B188=1,D188*1000+ROW(),"")</f>
        <v/>
      </c>
      <c r="K188" s="0" t="str">
        <f aca="false">IF(AND(B188=1,C188="Question"),ROW(),"")</f>
        <v/>
      </c>
    </row>
    <row r="189" customFormat="false" ht="15" hidden="false" customHeight="false" outlineLevel="0" collapsed="false">
      <c r="A189" s="0" t="s">
        <v>459</v>
      </c>
      <c r="B189" s="0" t="n">
        <f aca="false">IFERROR(IF($S$19&gt;0,1,0),0)</f>
        <v>0</v>
      </c>
      <c r="C189" s="0" t="str">
        <f aca="false">"Error"</f>
        <v>Error</v>
      </c>
      <c r="D189" s="0" t="n">
        <f aca="false">IF(C189="Error",1,IF(C189="Question",2,3))</f>
        <v>1</v>
      </c>
      <c r="E189" s="0" t="str">
        <f aca="false">IF(B189=1,"Line 18: "&amp;$B$19,"")</f>
        <v/>
      </c>
      <c r="F189" s="0" t="str">
        <f aca="false">IF(B189=1,"Rate above the agreed rate","")</f>
        <v/>
      </c>
      <c r="G189" s="0" t="str">
        <f aca="false">IF(B189=1,"Quoted "&amp;TEXT($H$19,"#,##0.00##")&amp;" vs agreed "&amp;TEXT(Audit!$M$71,"#,##0.00##")&amp;" "&amp;Audit!$D$71,"")</f>
        <v/>
      </c>
      <c r="H189" s="0" t="str">
        <f aca="false">IF(B189=1,"Ask the forwarder to apply the agreed rate.","")</f>
        <v/>
      </c>
      <c r="I189" s="0" t="str">
        <f aca="false">IF(B189=1,$S$19,"")</f>
        <v/>
      </c>
      <c r="J189" s="0" t="str">
        <f aca="false">IF(B189=1,D189*1000+ROW(),"")</f>
        <v/>
      </c>
      <c r="K189" s="0" t="str">
        <f aca="false">IF(AND(B189=1,C189="Question"),ROW(),"")</f>
        <v/>
      </c>
    </row>
    <row r="190" customFormat="false" ht="15" hidden="false" customHeight="false" outlineLevel="0" collapsed="false">
      <c r="A190" s="0" t="s">
        <v>460</v>
      </c>
      <c r="B190" s="0" t="n">
        <f aca="false">IFERROR(IF($X$19&lt;&gt;"",1,0),0)</f>
        <v>0</v>
      </c>
      <c r="C190" s="0" t="str">
        <f aca="false">"Question"</f>
        <v>Question</v>
      </c>
      <c r="D190" s="0" t="n">
        <f aca="false">IF(C190="Error",1,IF(C190="Question",2,3))</f>
        <v>2</v>
      </c>
      <c r="E190" s="0" t="str">
        <f aca="false">IF(B190=1,"Line 18: "&amp;$B$19,"")</f>
        <v/>
      </c>
      <c r="F190" s="0" t="str">
        <f aca="false">IF(B190=1,IF($X$19="flag",INDEX(Lists!$B$21:$B$25,MATCH($T$19,Lists!$A$21:$A$25,0)),IF($X$19="status","Status missing",IF($X$19="basis","Charging unit not stated",IF($X$19="rate","Rate missing",IF($X$19="base","Base amount not stated",IF($X$19="unclass","Charge not explained",IF($X$19="dup","Possible duplicate (same name, same service)","Charge not in the rate agreement"))))))),"")</f>
        <v/>
      </c>
      <c r="G190" s="0" t="str">
        <f aca="false">IF(B190=1,IF($X$19="flag",IF(Audit!$O$71&lt;&gt;"",Audit!$O$71,INDEX(Lists!$C$21:$C$25,MATCH($T$19,Lists!$A$21:$A$25,0))),IF($X$19="status","No status entered for this line.",IF($X$19="basis","The quotation does not say per what unit this is charged.",IF($X$19="rate","No rate entered for a firm or estimated charge.",IF($X$19="base","A percentage charge needs the amount it is calculated on.",IF($X$19="unclass","The charge does not fit a standard category or its purpose is unclear.",IF($X$19="dup","The same charge name appears more than once in the same service.","A rate agreement was provided but has no rate for this charge."))))))),"")</f>
        <v/>
      </c>
      <c r="H190" s="0" t="str">
        <f aca="false">IF(B190=1,IF($X$19="flag",INDEX(Lists!$E$21:$E$25,MATCH($T$19,Lists!$A$21:$A$25,0)),IF($X$19="status","Set the line status.",IF($X$19="basis","Ask the forwarder for the charging unit (per container, per B/L, per CBM...).",IF($X$19="rate","Enter the rate, or set the status to At cost / TBC.",IF($X$19="base","Ask the forwarder for the base amount (e.g. customs value).",IF($X$19="unclass","Ask the forwarder what this charge covers.",IF($X$19="dup","Ask whether both lines are needed; remove the duplicate.","Ask why the charge is not in the agreement; check the contract."))))))),"")</f>
        <v/>
      </c>
      <c r="I190" s="0" t="str">
        <f aca="false">IF(B190=1,IF(OR($X$19="dup",AND($X$19="flag",IFERROR(INDEX(Lists!$G$21:$G$25,MATCH($T$19,Lists!$A$21:$A$25,0)),0)=1)),IF(ISNUMBER($N$19),$N$19,""),""),"")</f>
        <v/>
      </c>
      <c r="J190" s="0" t="str">
        <f aca="false">IF(B190=1,D190*1000+ROW(),"")</f>
        <v/>
      </c>
      <c r="K190" s="0" t="str">
        <f aca="false">IF(AND(B190=1,C190="Question"),ROW(),"")</f>
        <v/>
      </c>
    </row>
    <row r="191" customFormat="false" ht="15" hidden="false" customHeight="false" outlineLevel="0" collapsed="false">
      <c r="A191" s="0" t="s">
        <v>461</v>
      </c>
      <c r="B191" s="0" t="n">
        <f aca="false">IFERROR(IF(AND($W$19=1,$D$19&lt;&gt;"Duties &amp; taxes"),1,0),0)</f>
        <v>0</v>
      </c>
      <c r="C191" s="0" t="str">
        <f aca="false">"Risk"</f>
        <v>Risk</v>
      </c>
      <c r="D191" s="0" t="n">
        <f aca="false">IF(C191="Error",1,IF(C191="Question",2,3))</f>
        <v>3</v>
      </c>
      <c r="E191" s="0" t="str">
        <f aca="false">IF(B191=1,"Line 18: "&amp;$B$19,"")</f>
        <v/>
      </c>
      <c r="F191" s="0" t="str">
        <f aca="false">IF(B191=1,IF($F$19="TBC","Amount to be confirmed","Charged at cost - amount not quoted"),"")</f>
        <v/>
      </c>
      <c r="G191" s="0" t="str">
        <f aca="false">IF(B191=1,"The final cost is unknown until invoiced.","")</f>
        <v/>
      </c>
      <c r="H191" s="0" t="str">
        <f aca="false">IF(B191=1,"Ask for an indicative amount; tell the client it may be added.","")</f>
        <v/>
      </c>
      <c r="I191" s="0" t="str">
        <f aca="false">IF(B191=1,"","")</f>
        <v/>
      </c>
      <c r="J191" s="0" t="str">
        <f aca="false">IF(B191=1,D191*1000+ROW(),"")</f>
        <v/>
      </c>
      <c r="K191" s="0" t="str">
        <f aca="false">IF(AND(B191=1,C191="Question"),ROW(),"")</f>
        <v/>
      </c>
    </row>
    <row r="192" customFormat="false" ht="15" hidden="false" customHeight="false" outlineLevel="0" collapsed="false">
      <c r="A192" s="0" t="s">
        <v>462</v>
      </c>
      <c r="B192" s="0" t="n">
        <f aca="false">IFERROR(IF(LEFT($Q$20,5)="Error",1,0),0)</f>
        <v>0</v>
      </c>
      <c r="C192" s="0" t="str">
        <f aca="false">"Error"</f>
        <v>Error</v>
      </c>
      <c r="D192" s="0" t="n">
        <f aca="false">IF(C192="Error",1,IF(C192="Question",2,3))</f>
        <v>1</v>
      </c>
      <c r="E192" s="0" t="str">
        <f aca="false">IF(B192=1,"Line 19: "&amp;$B$20,"")</f>
        <v/>
      </c>
      <c r="F192" s="0" t="str">
        <f aca="false">IF(B192=1,"Line amount does not reconcile","")</f>
        <v/>
      </c>
      <c r="G192" s="0" t="str">
        <f aca="false">IF(B192=1,"Forwarder shows "&amp;TEXT($P$20,"#,##0.00")&amp;" vs calculated "&amp;TEXT($L$20,"#,##0.00")&amp;IF($Y$20&gt;0," before tax / "&amp;TEXT($M$20,"#,##0.00")&amp;" incl. tax","")&amp;" "&amp;$I$20,"")</f>
        <v/>
      </c>
      <c r="H192" s="0" t="str">
        <f aca="false">IF(B192=1,"Ask the forwarder to correct the amount or explain the difference.","")</f>
        <v/>
      </c>
      <c r="I192" s="0" t="str">
        <f aca="false">IF(B192=1,IF(ISNUMBER($J$20),ROUND($R$20*$J$20,2),""),"")</f>
        <v/>
      </c>
      <c r="J192" s="0" t="str">
        <f aca="false">IF(B192=1,D192*1000+ROW(),"")</f>
        <v/>
      </c>
      <c r="K192" s="0" t="str">
        <f aca="false">IF(AND(B192=1,C192="Question"),ROW(),"")</f>
        <v/>
      </c>
    </row>
    <row r="193" customFormat="false" ht="15" hidden="false" customHeight="false" outlineLevel="0" collapsed="false">
      <c r="A193" s="0" t="s">
        <v>463</v>
      </c>
      <c r="B193" s="0" t="n">
        <f aca="false">IFERROR(IF($S$20&gt;0,1,0),0)</f>
        <v>0</v>
      </c>
      <c r="C193" s="0" t="str">
        <f aca="false">"Error"</f>
        <v>Error</v>
      </c>
      <c r="D193" s="0" t="n">
        <f aca="false">IF(C193="Error",1,IF(C193="Question",2,3))</f>
        <v>1</v>
      </c>
      <c r="E193" s="0" t="str">
        <f aca="false">IF(B193=1,"Line 19: "&amp;$B$20,"")</f>
        <v/>
      </c>
      <c r="F193" s="0" t="str">
        <f aca="false">IF(B193=1,"Rate above the agreed rate","")</f>
        <v/>
      </c>
      <c r="G193" s="0" t="str">
        <f aca="false">IF(B193=1,"Quoted "&amp;TEXT($H$20,"#,##0.00##")&amp;" vs agreed "&amp;TEXT(Audit!$M$72,"#,##0.00##")&amp;" "&amp;Audit!$D$72,"")</f>
        <v/>
      </c>
      <c r="H193" s="0" t="str">
        <f aca="false">IF(B193=1,"Ask the forwarder to apply the agreed rate.","")</f>
        <v/>
      </c>
      <c r="I193" s="0" t="str">
        <f aca="false">IF(B193=1,$S$20,"")</f>
        <v/>
      </c>
      <c r="J193" s="0" t="str">
        <f aca="false">IF(B193=1,D193*1000+ROW(),"")</f>
        <v/>
      </c>
      <c r="K193" s="0" t="str">
        <f aca="false">IF(AND(B193=1,C193="Question"),ROW(),"")</f>
        <v/>
      </c>
    </row>
    <row r="194" customFormat="false" ht="15" hidden="false" customHeight="false" outlineLevel="0" collapsed="false">
      <c r="A194" s="0" t="s">
        <v>464</v>
      </c>
      <c r="B194" s="0" t="n">
        <f aca="false">IFERROR(IF($X$20&lt;&gt;"",1,0),0)</f>
        <v>0</v>
      </c>
      <c r="C194" s="0" t="str">
        <f aca="false">"Question"</f>
        <v>Question</v>
      </c>
      <c r="D194" s="0" t="n">
        <f aca="false">IF(C194="Error",1,IF(C194="Question",2,3))</f>
        <v>2</v>
      </c>
      <c r="E194" s="0" t="str">
        <f aca="false">IF(B194=1,"Line 19: "&amp;$B$20,"")</f>
        <v/>
      </c>
      <c r="F194" s="0" t="str">
        <f aca="false">IF(B194=1,IF($X$20="flag",INDEX(Lists!$B$21:$B$25,MATCH($T$20,Lists!$A$21:$A$25,0)),IF($X$20="status","Status missing",IF($X$20="basis","Charging unit not stated",IF($X$20="rate","Rate missing",IF($X$20="base","Base amount not stated",IF($X$20="unclass","Charge not explained",IF($X$20="dup","Possible duplicate (same name, same service)","Charge not in the rate agreement"))))))),"")</f>
        <v/>
      </c>
      <c r="G194" s="0" t="str">
        <f aca="false">IF(B194=1,IF($X$20="flag",IF(Audit!$O$72&lt;&gt;"",Audit!$O$72,INDEX(Lists!$C$21:$C$25,MATCH($T$20,Lists!$A$21:$A$25,0))),IF($X$20="status","No status entered for this line.",IF($X$20="basis","The quotation does not say per what unit this is charged.",IF($X$20="rate","No rate entered for a firm or estimated charge.",IF($X$20="base","A percentage charge needs the amount it is calculated on.",IF($X$20="unclass","The charge does not fit a standard category or its purpose is unclear.",IF($X$20="dup","The same charge name appears more than once in the same service.","A rate agreement was provided but has no rate for this charge."))))))),"")</f>
        <v/>
      </c>
      <c r="H194" s="0" t="str">
        <f aca="false">IF(B194=1,IF($X$20="flag",INDEX(Lists!$E$21:$E$25,MATCH($T$20,Lists!$A$21:$A$25,0)),IF($X$20="status","Set the line status.",IF($X$20="basis","Ask the forwarder for the charging unit (per container, per B/L, per CBM...).",IF($X$20="rate","Enter the rate, or set the status to At cost / TBC.",IF($X$20="base","Ask the forwarder for the base amount (e.g. customs value).",IF($X$20="unclass","Ask the forwarder what this charge covers.",IF($X$20="dup","Ask whether both lines are needed; remove the duplicate.","Ask why the charge is not in the agreement; check the contract."))))))),"")</f>
        <v/>
      </c>
      <c r="I194" s="0" t="str">
        <f aca="false">IF(B194=1,IF(OR($X$20="dup",AND($X$20="flag",IFERROR(INDEX(Lists!$G$21:$G$25,MATCH($T$20,Lists!$A$21:$A$25,0)),0)=1)),IF(ISNUMBER($N$20),$N$20,""),""),"")</f>
        <v/>
      </c>
      <c r="J194" s="0" t="str">
        <f aca="false">IF(B194=1,D194*1000+ROW(),"")</f>
        <v/>
      </c>
      <c r="K194" s="0" t="str">
        <f aca="false">IF(AND(B194=1,C194="Question"),ROW(),"")</f>
        <v/>
      </c>
    </row>
    <row r="195" customFormat="false" ht="15" hidden="false" customHeight="false" outlineLevel="0" collapsed="false">
      <c r="A195" s="0" t="s">
        <v>465</v>
      </c>
      <c r="B195" s="0" t="n">
        <f aca="false">IFERROR(IF(AND($W$20=1,$D$20&lt;&gt;"Duties &amp; taxes"),1,0),0)</f>
        <v>0</v>
      </c>
      <c r="C195" s="0" t="str">
        <f aca="false">"Risk"</f>
        <v>Risk</v>
      </c>
      <c r="D195" s="0" t="n">
        <f aca="false">IF(C195="Error",1,IF(C195="Question",2,3))</f>
        <v>3</v>
      </c>
      <c r="E195" s="0" t="str">
        <f aca="false">IF(B195=1,"Line 19: "&amp;$B$20,"")</f>
        <v/>
      </c>
      <c r="F195" s="0" t="str">
        <f aca="false">IF(B195=1,IF($F$20="TBC","Amount to be confirmed","Charged at cost - amount not quoted"),"")</f>
        <v/>
      </c>
      <c r="G195" s="0" t="str">
        <f aca="false">IF(B195=1,"The final cost is unknown until invoiced.","")</f>
        <v/>
      </c>
      <c r="H195" s="0" t="str">
        <f aca="false">IF(B195=1,"Ask for an indicative amount; tell the client it may be added.","")</f>
        <v/>
      </c>
      <c r="I195" s="0" t="str">
        <f aca="false">IF(B195=1,"","")</f>
        <v/>
      </c>
      <c r="J195" s="0" t="str">
        <f aca="false">IF(B195=1,D195*1000+ROW(),"")</f>
        <v/>
      </c>
      <c r="K195" s="0" t="str">
        <f aca="false">IF(AND(B195=1,C195="Question"),ROW(),"")</f>
        <v/>
      </c>
    </row>
    <row r="196" customFormat="false" ht="15" hidden="false" customHeight="false" outlineLevel="0" collapsed="false">
      <c r="A196" s="0" t="s">
        <v>466</v>
      </c>
      <c r="B196" s="0" t="n">
        <f aca="false">IFERROR(IF(LEFT($Q$21,5)="Error",1,0),0)</f>
        <v>0</v>
      </c>
      <c r="C196" s="0" t="str">
        <f aca="false">"Error"</f>
        <v>Error</v>
      </c>
      <c r="D196" s="0" t="n">
        <f aca="false">IF(C196="Error",1,IF(C196="Question",2,3))</f>
        <v>1</v>
      </c>
      <c r="E196" s="0" t="str">
        <f aca="false">IF(B196=1,"Line 20: "&amp;$B$21,"")</f>
        <v/>
      </c>
      <c r="F196" s="0" t="str">
        <f aca="false">IF(B196=1,"Line amount does not reconcile","")</f>
        <v/>
      </c>
      <c r="G196" s="0" t="str">
        <f aca="false">IF(B196=1,"Forwarder shows "&amp;TEXT($P$21,"#,##0.00")&amp;" vs calculated "&amp;TEXT($L$21,"#,##0.00")&amp;IF($Y$21&gt;0," before tax / "&amp;TEXT($M$21,"#,##0.00")&amp;" incl. tax","")&amp;" "&amp;$I$21,"")</f>
        <v/>
      </c>
      <c r="H196" s="0" t="str">
        <f aca="false">IF(B196=1,"Ask the forwarder to correct the amount or explain the difference.","")</f>
        <v/>
      </c>
      <c r="I196" s="0" t="str">
        <f aca="false">IF(B196=1,IF(ISNUMBER($J$21),ROUND($R$21*$J$21,2),""),"")</f>
        <v/>
      </c>
      <c r="J196" s="0" t="str">
        <f aca="false">IF(B196=1,D196*1000+ROW(),"")</f>
        <v/>
      </c>
      <c r="K196" s="0" t="str">
        <f aca="false">IF(AND(B196=1,C196="Question"),ROW(),"")</f>
        <v/>
      </c>
    </row>
    <row r="197" customFormat="false" ht="15" hidden="false" customHeight="false" outlineLevel="0" collapsed="false">
      <c r="A197" s="0" t="s">
        <v>467</v>
      </c>
      <c r="B197" s="0" t="n">
        <f aca="false">IFERROR(IF($S$21&gt;0,1,0),0)</f>
        <v>0</v>
      </c>
      <c r="C197" s="0" t="str">
        <f aca="false">"Error"</f>
        <v>Error</v>
      </c>
      <c r="D197" s="0" t="n">
        <f aca="false">IF(C197="Error",1,IF(C197="Question",2,3))</f>
        <v>1</v>
      </c>
      <c r="E197" s="0" t="str">
        <f aca="false">IF(B197=1,"Line 20: "&amp;$B$21,"")</f>
        <v/>
      </c>
      <c r="F197" s="0" t="str">
        <f aca="false">IF(B197=1,"Rate above the agreed rate","")</f>
        <v/>
      </c>
      <c r="G197" s="0" t="str">
        <f aca="false">IF(B197=1,"Quoted "&amp;TEXT($H$21,"#,##0.00##")&amp;" vs agreed "&amp;TEXT(Audit!$M$73,"#,##0.00##")&amp;" "&amp;Audit!$D$73,"")</f>
        <v/>
      </c>
      <c r="H197" s="0" t="str">
        <f aca="false">IF(B197=1,"Ask the forwarder to apply the agreed rate.","")</f>
        <v/>
      </c>
      <c r="I197" s="0" t="str">
        <f aca="false">IF(B197=1,$S$21,"")</f>
        <v/>
      </c>
      <c r="J197" s="0" t="str">
        <f aca="false">IF(B197=1,D197*1000+ROW(),"")</f>
        <v/>
      </c>
      <c r="K197" s="0" t="str">
        <f aca="false">IF(AND(B197=1,C197="Question"),ROW(),"")</f>
        <v/>
      </c>
    </row>
    <row r="198" customFormat="false" ht="15" hidden="false" customHeight="false" outlineLevel="0" collapsed="false">
      <c r="A198" s="0" t="s">
        <v>468</v>
      </c>
      <c r="B198" s="0" t="n">
        <f aca="false">IFERROR(IF($X$21&lt;&gt;"",1,0),0)</f>
        <v>0</v>
      </c>
      <c r="C198" s="0" t="str">
        <f aca="false">"Question"</f>
        <v>Question</v>
      </c>
      <c r="D198" s="0" t="n">
        <f aca="false">IF(C198="Error",1,IF(C198="Question",2,3))</f>
        <v>2</v>
      </c>
      <c r="E198" s="0" t="str">
        <f aca="false">IF(B198=1,"Line 20: "&amp;$B$21,"")</f>
        <v/>
      </c>
      <c r="F198" s="0" t="str">
        <f aca="false">IF(B198=1,IF($X$21="flag",INDEX(Lists!$B$21:$B$25,MATCH($T$21,Lists!$A$21:$A$25,0)),IF($X$21="status","Status missing",IF($X$21="basis","Charging unit not stated",IF($X$21="rate","Rate missing",IF($X$21="base","Base amount not stated",IF($X$21="unclass","Charge not explained",IF($X$21="dup","Possible duplicate (same name, same service)","Charge not in the rate agreement"))))))),"")</f>
        <v/>
      </c>
      <c r="G198" s="0" t="str">
        <f aca="false">IF(B198=1,IF($X$21="flag",IF(Audit!$O$73&lt;&gt;"",Audit!$O$73,INDEX(Lists!$C$21:$C$25,MATCH($T$21,Lists!$A$21:$A$25,0))),IF($X$21="status","No status entered for this line.",IF($X$21="basis","The quotation does not say per what unit this is charged.",IF($X$21="rate","No rate entered for a firm or estimated charge.",IF($X$21="base","A percentage charge needs the amount it is calculated on.",IF($X$21="unclass","The charge does not fit a standard category or its purpose is unclear.",IF($X$21="dup","The same charge name appears more than once in the same service.","A rate agreement was provided but has no rate for this charge."))))))),"")</f>
        <v/>
      </c>
      <c r="H198" s="0" t="str">
        <f aca="false">IF(B198=1,IF($X$21="flag",INDEX(Lists!$E$21:$E$25,MATCH($T$21,Lists!$A$21:$A$25,0)),IF($X$21="status","Set the line status.",IF($X$21="basis","Ask the forwarder for the charging unit (per container, per B/L, per CBM...).",IF($X$21="rate","Enter the rate, or set the status to At cost / TBC.",IF($X$21="base","Ask the forwarder for the base amount (e.g. customs value).",IF($X$21="unclass","Ask the forwarder what this charge covers.",IF($X$21="dup","Ask whether both lines are needed; remove the duplicate.","Ask why the charge is not in the agreement; check the contract."))))))),"")</f>
        <v/>
      </c>
      <c r="I198" s="0" t="str">
        <f aca="false">IF(B198=1,IF(OR($X$21="dup",AND($X$21="flag",IFERROR(INDEX(Lists!$G$21:$G$25,MATCH($T$21,Lists!$A$21:$A$25,0)),0)=1)),IF(ISNUMBER($N$21),$N$21,""),""),"")</f>
        <v/>
      </c>
      <c r="J198" s="0" t="str">
        <f aca="false">IF(B198=1,D198*1000+ROW(),"")</f>
        <v/>
      </c>
      <c r="K198" s="0" t="str">
        <f aca="false">IF(AND(B198=1,C198="Question"),ROW(),"")</f>
        <v/>
      </c>
    </row>
    <row r="199" customFormat="false" ht="15" hidden="false" customHeight="false" outlineLevel="0" collapsed="false">
      <c r="A199" s="0" t="s">
        <v>469</v>
      </c>
      <c r="B199" s="0" t="n">
        <f aca="false">IFERROR(IF(AND($W$21=1,$D$21&lt;&gt;"Duties &amp; taxes"),1,0),0)</f>
        <v>0</v>
      </c>
      <c r="C199" s="0" t="str">
        <f aca="false">"Risk"</f>
        <v>Risk</v>
      </c>
      <c r="D199" s="0" t="n">
        <f aca="false">IF(C199="Error",1,IF(C199="Question",2,3))</f>
        <v>3</v>
      </c>
      <c r="E199" s="0" t="str">
        <f aca="false">IF(B199=1,"Line 20: "&amp;$B$21,"")</f>
        <v/>
      </c>
      <c r="F199" s="0" t="str">
        <f aca="false">IF(B199=1,IF($F$21="TBC","Amount to be confirmed","Charged at cost - amount not quoted"),"")</f>
        <v/>
      </c>
      <c r="G199" s="0" t="str">
        <f aca="false">IF(B199=1,"The final cost is unknown until invoiced.","")</f>
        <v/>
      </c>
      <c r="H199" s="0" t="str">
        <f aca="false">IF(B199=1,"Ask for an indicative amount; tell the client it may be added.","")</f>
        <v/>
      </c>
      <c r="I199" s="0" t="str">
        <f aca="false">IF(B199=1,"","")</f>
        <v/>
      </c>
      <c r="J199" s="0" t="str">
        <f aca="false">IF(B199=1,D199*1000+ROW(),"")</f>
        <v/>
      </c>
      <c r="K199" s="0" t="str">
        <f aca="false">IF(AND(B199=1,C199="Question"),ROW(),"")</f>
        <v/>
      </c>
    </row>
    <row r="200" customFormat="false" ht="15" hidden="false" customHeight="false" outlineLevel="0" collapsed="false">
      <c r="A200" s="0" t="s">
        <v>470</v>
      </c>
      <c r="B200" s="0" t="n">
        <f aca="false">IFERROR(IF(LEFT($Q$22,5)="Error",1,0),0)</f>
        <v>0</v>
      </c>
      <c r="C200" s="0" t="str">
        <f aca="false">"Error"</f>
        <v>Error</v>
      </c>
      <c r="D200" s="0" t="n">
        <f aca="false">IF(C200="Error",1,IF(C200="Question",2,3))</f>
        <v>1</v>
      </c>
      <c r="E200" s="0" t="str">
        <f aca="false">IF(B200=1,"Line 21: "&amp;$B$22,"")</f>
        <v/>
      </c>
      <c r="F200" s="0" t="str">
        <f aca="false">IF(B200=1,"Line amount does not reconcile","")</f>
        <v/>
      </c>
      <c r="G200" s="0" t="str">
        <f aca="false">IF(B200=1,"Forwarder shows "&amp;TEXT($P$22,"#,##0.00")&amp;" vs calculated "&amp;TEXT($L$22,"#,##0.00")&amp;IF($Y$22&gt;0," before tax / "&amp;TEXT($M$22,"#,##0.00")&amp;" incl. tax","")&amp;" "&amp;$I$22,"")</f>
        <v/>
      </c>
      <c r="H200" s="0" t="str">
        <f aca="false">IF(B200=1,"Ask the forwarder to correct the amount or explain the difference.","")</f>
        <v/>
      </c>
      <c r="I200" s="0" t="str">
        <f aca="false">IF(B200=1,IF(ISNUMBER($J$22),ROUND($R$22*$J$22,2),""),"")</f>
        <v/>
      </c>
      <c r="J200" s="0" t="str">
        <f aca="false">IF(B200=1,D200*1000+ROW(),"")</f>
        <v/>
      </c>
      <c r="K200" s="0" t="str">
        <f aca="false">IF(AND(B200=1,C200="Question"),ROW(),"")</f>
        <v/>
      </c>
    </row>
    <row r="201" customFormat="false" ht="15" hidden="false" customHeight="false" outlineLevel="0" collapsed="false">
      <c r="A201" s="0" t="s">
        <v>471</v>
      </c>
      <c r="B201" s="0" t="n">
        <f aca="false">IFERROR(IF($S$22&gt;0,1,0),0)</f>
        <v>0</v>
      </c>
      <c r="C201" s="0" t="str">
        <f aca="false">"Error"</f>
        <v>Error</v>
      </c>
      <c r="D201" s="0" t="n">
        <f aca="false">IF(C201="Error",1,IF(C201="Question",2,3))</f>
        <v>1</v>
      </c>
      <c r="E201" s="0" t="str">
        <f aca="false">IF(B201=1,"Line 21: "&amp;$B$22,"")</f>
        <v/>
      </c>
      <c r="F201" s="0" t="str">
        <f aca="false">IF(B201=1,"Rate above the agreed rate","")</f>
        <v/>
      </c>
      <c r="G201" s="0" t="str">
        <f aca="false">IF(B201=1,"Quoted "&amp;TEXT($H$22,"#,##0.00##")&amp;" vs agreed "&amp;TEXT(Audit!$M$74,"#,##0.00##")&amp;" "&amp;Audit!$D$74,"")</f>
        <v/>
      </c>
      <c r="H201" s="0" t="str">
        <f aca="false">IF(B201=1,"Ask the forwarder to apply the agreed rate.","")</f>
        <v/>
      </c>
      <c r="I201" s="0" t="str">
        <f aca="false">IF(B201=1,$S$22,"")</f>
        <v/>
      </c>
      <c r="J201" s="0" t="str">
        <f aca="false">IF(B201=1,D201*1000+ROW(),"")</f>
        <v/>
      </c>
      <c r="K201" s="0" t="str">
        <f aca="false">IF(AND(B201=1,C201="Question"),ROW(),"")</f>
        <v/>
      </c>
    </row>
    <row r="202" customFormat="false" ht="15" hidden="false" customHeight="false" outlineLevel="0" collapsed="false">
      <c r="A202" s="0" t="s">
        <v>472</v>
      </c>
      <c r="B202" s="0" t="n">
        <f aca="false">IFERROR(IF($X$22&lt;&gt;"",1,0),0)</f>
        <v>0</v>
      </c>
      <c r="C202" s="0" t="str">
        <f aca="false">"Question"</f>
        <v>Question</v>
      </c>
      <c r="D202" s="0" t="n">
        <f aca="false">IF(C202="Error",1,IF(C202="Question",2,3))</f>
        <v>2</v>
      </c>
      <c r="E202" s="0" t="str">
        <f aca="false">IF(B202=1,"Line 21: "&amp;$B$22,"")</f>
        <v/>
      </c>
      <c r="F202" s="0" t="str">
        <f aca="false">IF(B202=1,IF($X$22="flag",INDEX(Lists!$B$21:$B$25,MATCH($T$22,Lists!$A$21:$A$25,0)),IF($X$22="status","Status missing",IF($X$22="basis","Charging unit not stated",IF($X$22="rate","Rate missing",IF($X$22="base","Base amount not stated",IF($X$22="unclass","Charge not explained",IF($X$22="dup","Possible duplicate (same name, same service)","Charge not in the rate agreement"))))))),"")</f>
        <v/>
      </c>
      <c r="G202" s="0" t="str">
        <f aca="false">IF(B202=1,IF($X$22="flag",IF(Audit!$O$74&lt;&gt;"",Audit!$O$74,INDEX(Lists!$C$21:$C$25,MATCH($T$22,Lists!$A$21:$A$25,0))),IF($X$22="status","No status entered for this line.",IF($X$22="basis","The quotation does not say per what unit this is charged.",IF($X$22="rate","No rate entered for a firm or estimated charge.",IF($X$22="base","A percentage charge needs the amount it is calculated on.",IF($X$22="unclass","The charge does not fit a standard category or its purpose is unclear.",IF($X$22="dup","The same charge name appears more than once in the same service.","A rate agreement was provided but has no rate for this charge."))))))),"")</f>
        <v/>
      </c>
      <c r="H202" s="0" t="str">
        <f aca="false">IF(B202=1,IF($X$22="flag",INDEX(Lists!$E$21:$E$25,MATCH($T$22,Lists!$A$21:$A$25,0)),IF($X$22="status","Set the line status.",IF($X$22="basis","Ask the forwarder for the charging unit (per container, per B/L, per CBM...).",IF($X$22="rate","Enter the rate, or set the status to At cost / TBC.",IF($X$22="base","Ask the forwarder for the base amount (e.g. customs value).",IF($X$22="unclass","Ask the forwarder what this charge covers.",IF($X$22="dup","Ask whether both lines are needed; remove the duplicate.","Ask why the charge is not in the agreement; check the contract."))))))),"")</f>
        <v/>
      </c>
      <c r="I202" s="0" t="str">
        <f aca="false">IF(B202=1,IF(OR($X$22="dup",AND($X$22="flag",IFERROR(INDEX(Lists!$G$21:$G$25,MATCH($T$22,Lists!$A$21:$A$25,0)),0)=1)),IF(ISNUMBER($N$22),$N$22,""),""),"")</f>
        <v/>
      </c>
      <c r="J202" s="0" t="str">
        <f aca="false">IF(B202=1,D202*1000+ROW(),"")</f>
        <v/>
      </c>
      <c r="K202" s="0" t="str">
        <f aca="false">IF(AND(B202=1,C202="Question"),ROW(),"")</f>
        <v/>
      </c>
    </row>
    <row r="203" customFormat="false" ht="15" hidden="false" customHeight="false" outlineLevel="0" collapsed="false">
      <c r="A203" s="0" t="s">
        <v>473</v>
      </c>
      <c r="B203" s="0" t="n">
        <f aca="false">IFERROR(IF(AND($W$22=1,$D$22&lt;&gt;"Duties &amp; taxes"),1,0),0)</f>
        <v>0</v>
      </c>
      <c r="C203" s="0" t="str">
        <f aca="false">"Risk"</f>
        <v>Risk</v>
      </c>
      <c r="D203" s="0" t="n">
        <f aca="false">IF(C203="Error",1,IF(C203="Question",2,3))</f>
        <v>3</v>
      </c>
      <c r="E203" s="0" t="str">
        <f aca="false">IF(B203=1,"Line 21: "&amp;$B$22,"")</f>
        <v/>
      </c>
      <c r="F203" s="0" t="str">
        <f aca="false">IF(B203=1,IF($F$22="TBC","Amount to be confirmed","Charged at cost - amount not quoted"),"")</f>
        <v/>
      </c>
      <c r="G203" s="0" t="str">
        <f aca="false">IF(B203=1,"The final cost is unknown until invoiced.","")</f>
        <v/>
      </c>
      <c r="H203" s="0" t="str">
        <f aca="false">IF(B203=1,"Ask for an indicative amount; tell the client it may be added.","")</f>
        <v/>
      </c>
      <c r="I203" s="0" t="str">
        <f aca="false">IF(B203=1,"","")</f>
        <v/>
      </c>
      <c r="J203" s="0" t="str">
        <f aca="false">IF(B203=1,D203*1000+ROW(),"")</f>
        <v/>
      </c>
      <c r="K203" s="0" t="str">
        <f aca="false">IF(AND(B203=1,C203="Question"),ROW(),"")</f>
        <v/>
      </c>
    </row>
    <row r="204" customFormat="false" ht="15" hidden="false" customHeight="false" outlineLevel="0" collapsed="false">
      <c r="A204" s="0" t="s">
        <v>474</v>
      </c>
      <c r="B204" s="0" t="n">
        <f aca="false">IFERROR(IF(LEFT($Q$23,5)="Error",1,0),0)</f>
        <v>0</v>
      </c>
      <c r="C204" s="0" t="str">
        <f aca="false">"Error"</f>
        <v>Error</v>
      </c>
      <c r="D204" s="0" t="n">
        <f aca="false">IF(C204="Error",1,IF(C204="Question",2,3))</f>
        <v>1</v>
      </c>
      <c r="E204" s="0" t="str">
        <f aca="false">IF(B204=1,"Line 22: "&amp;$B$23,"")</f>
        <v/>
      </c>
      <c r="F204" s="0" t="str">
        <f aca="false">IF(B204=1,"Line amount does not reconcile","")</f>
        <v/>
      </c>
      <c r="G204" s="0" t="str">
        <f aca="false">IF(B204=1,"Forwarder shows "&amp;TEXT($P$23,"#,##0.00")&amp;" vs calculated "&amp;TEXT($L$23,"#,##0.00")&amp;IF($Y$23&gt;0," before tax / "&amp;TEXT($M$23,"#,##0.00")&amp;" incl. tax","")&amp;" "&amp;$I$23,"")</f>
        <v/>
      </c>
      <c r="H204" s="0" t="str">
        <f aca="false">IF(B204=1,"Ask the forwarder to correct the amount or explain the difference.","")</f>
        <v/>
      </c>
      <c r="I204" s="0" t="str">
        <f aca="false">IF(B204=1,IF(ISNUMBER($J$23),ROUND($R$23*$J$23,2),""),"")</f>
        <v/>
      </c>
      <c r="J204" s="0" t="str">
        <f aca="false">IF(B204=1,D204*1000+ROW(),"")</f>
        <v/>
      </c>
      <c r="K204" s="0" t="str">
        <f aca="false">IF(AND(B204=1,C204="Question"),ROW(),"")</f>
        <v/>
      </c>
    </row>
    <row r="205" customFormat="false" ht="15" hidden="false" customHeight="false" outlineLevel="0" collapsed="false">
      <c r="A205" s="0" t="s">
        <v>475</v>
      </c>
      <c r="B205" s="0" t="n">
        <f aca="false">IFERROR(IF($S$23&gt;0,1,0),0)</f>
        <v>0</v>
      </c>
      <c r="C205" s="0" t="str">
        <f aca="false">"Error"</f>
        <v>Error</v>
      </c>
      <c r="D205" s="0" t="n">
        <f aca="false">IF(C205="Error",1,IF(C205="Question",2,3))</f>
        <v>1</v>
      </c>
      <c r="E205" s="0" t="str">
        <f aca="false">IF(B205=1,"Line 22: "&amp;$B$23,"")</f>
        <v/>
      </c>
      <c r="F205" s="0" t="str">
        <f aca="false">IF(B205=1,"Rate above the agreed rate","")</f>
        <v/>
      </c>
      <c r="G205" s="0" t="str">
        <f aca="false">IF(B205=1,"Quoted "&amp;TEXT($H$23,"#,##0.00##")&amp;" vs agreed "&amp;TEXT(Audit!$M$75,"#,##0.00##")&amp;" "&amp;Audit!$D$75,"")</f>
        <v/>
      </c>
      <c r="H205" s="0" t="str">
        <f aca="false">IF(B205=1,"Ask the forwarder to apply the agreed rate.","")</f>
        <v/>
      </c>
      <c r="I205" s="0" t="str">
        <f aca="false">IF(B205=1,$S$23,"")</f>
        <v/>
      </c>
      <c r="J205" s="0" t="str">
        <f aca="false">IF(B205=1,D205*1000+ROW(),"")</f>
        <v/>
      </c>
      <c r="K205" s="0" t="str">
        <f aca="false">IF(AND(B205=1,C205="Question"),ROW(),"")</f>
        <v/>
      </c>
    </row>
    <row r="206" customFormat="false" ht="15" hidden="false" customHeight="false" outlineLevel="0" collapsed="false">
      <c r="A206" s="0" t="s">
        <v>476</v>
      </c>
      <c r="B206" s="0" t="n">
        <f aca="false">IFERROR(IF($X$23&lt;&gt;"",1,0),0)</f>
        <v>0</v>
      </c>
      <c r="C206" s="0" t="str">
        <f aca="false">"Question"</f>
        <v>Question</v>
      </c>
      <c r="D206" s="0" t="n">
        <f aca="false">IF(C206="Error",1,IF(C206="Question",2,3))</f>
        <v>2</v>
      </c>
      <c r="E206" s="0" t="str">
        <f aca="false">IF(B206=1,"Line 22: "&amp;$B$23,"")</f>
        <v/>
      </c>
      <c r="F206" s="0" t="str">
        <f aca="false">IF(B206=1,IF($X$23="flag",INDEX(Lists!$B$21:$B$25,MATCH($T$23,Lists!$A$21:$A$25,0)),IF($X$23="status","Status missing",IF($X$23="basis","Charging unit not stated",IF($X$23="rate","Rate missing",IF($X$23="base","Base amount not stated",IF($X$23="unclass","Charge not explained",IF($X$23="dup","Possible duplicate (same name, same service)","Charge not in the rate agreement"))))))),"")</f>
        <v/>
      </c>
      <c r="G206" s="0" t="str">
        <f aca="false">IF(B206=1,IF($X$23="flag",IF(Audit!$O$75&lt;&gt;"",Audit!$O$75,INDEX(Lists!$C$21:$C$25,MATCH($T$23,Lists!$A$21:$A$25,0))),IF($X$23="status","No status entered for this line.",IF($X$23="basis","The quotation does not say per what unit this is charged.",IF($X$23="rate","No rate entered for a firm or estimated charge.",IF($X$23="base","A percentage charge needs the amount it is calculated on.",IF($X$23="unclass","The charge does not fit a standard category or its purpose is unclear.",IF($X$23="dup","The same charge name appears more than once in the same service.","A rate agreement was provided but has no rate for this charge."))))))),"")</f>
        <v/>
      </c>
      <c r="H206" s="0" t="str">
        <f aca="false">IF(B206=1,IF($X$23="flag",INDEX(Lists!$E$21:$E$25,MATCH($T$23,Lists!$A$21:$A$25,0)),IF($X$23="status","Set the line status.",IF($X$23="basis","Ask the forwarder for the charging unit (per container, per B/L, per CBM...).",IF($X$23="rate","Enter the rate, or set the status to At cost / TBC.",IF($X$23="base","Ask the forwarder for the base amount (e.g. customs value).",IF($X$23="unclass","Ask the forwarder what this charge covers.",IF($X$23="dup","Ask whether both lines are needed; remove the duplicate.","Ask why the charge is not in the agreement; check the contract."))))))),"")</f>
        <v/>
      </c>
      <c r="I206" s="0" t="str">
        <f aca="false">IF(B206=1,IF(OR($X$23="dup",AND($X$23="flag",IFERROR(INDEX(Lists!$G$21:$G$25,MATCH($T$23,Lists!$A$21:$A$25,0)),0)=1)),IF(ISNUMBER($N$23),$N$23,""),""),"")</f>
        <v/>
      </c>
      <c r="J206" s="0" t="str">
        <f aca="false">IF(B206=1,D206*1000+ROW(),"")</f>
        <v/>
      </c>
      <c r="K206" s="0" t="str">
        <f aca="false">IF(AND(B206=1,C206="Question"),ROW(),"")</f>
        <v/>
      </c>
    </row>
    <row r="207" customFormat="false" ht="15" hidden="false" customHeight="false" outlineLevel="0" collapsed="false">
      <c r="A207" s="0" t="s">
        <v>477</v>
      </c>
      <c r="B207" s="0" t="n">
        <f aca="false">IFERROR(IF(AND($W$23=1,$D$23&lt;&gt;"Duties &amp; taxes"),1,0),0)</f>
        <v>0</v>
      </c>
      <c r="C207" s="0" t="str">
        <f aca="false">"Risk"</f>
        <v>Risk</v>
      </c>
      <c r="D207" s="0" t="n">
        <f aca="false">IF(C207="Error",1,IF(C207="Question",2,3))</f>
        <v>3</v>
      </c>
      <c r="E207" s="0" t="str">
        <f aca="false">IF(B207=1,"Line 22: "&amp;$B$23,"")</f>
        <v/>
      </c>
      <c r="F207" s="0" t="str">
        <f aca="false">IF(B207=1,IF($F$23="TBC","Amount to be confirmed","Charged at cost - amount not quoted"),"")</f>
        <v/>
      </c>
      <c r="G207" s="0" t="str">
        <f aca="false">IF(B207=1,"The final cost is unknown until invoiced.","")</f>
        <v/>
      </c>
      <c r="H207" s="0" t="str">
        <f aca="false">IF(B207=1,"Ask for an indicative amount; tell the client it may be added.","")</f>
        <v/>
      </c>
      <c r="I207" s="0" t="str">
        <f aca="false">IF(B207=1,"","")</f>
        <v/>
      </c>
      <c r="J207" s="0" t="str">
        <f aca="false">IF(B207=1,D207*1000+ROW(),"")</f>
        <v/>
      </c>
      <c r="K207" s="0" t="str">
        <f aca="false">IF(AND(B207=1,C207="Question"),ROW(),"")</f>
        <v/>
      </c>
    </row>
    <row r="208" customFormat="false" ht="15" hidden="false" customHeight="false" outlineLevel="0" collapsed="false">
      <c r="A208" s="0" t="s">
        <v>478</v>
      </c>
      <c r="B208" s="0" t="n">
        <f aca="false">IFERROR(IF(LEFT($Q$24,5)="Error",1,0),0)</f>
        <v>0</v>
      </c>
      <c r="C208" s="0" t="str">
        <f aca="false">"Error"</f>
        <v>Error</v>
      </c>
      <c r="D208" s="0" t="n">
        <f aca="false">IF(C208="Error",1,IF(C208="Question",2,3))</f>
        <v>1</v>
      </c>
      <c r="E208" s="0" t="str">
        <f aca="false">IF(B208=1,"Line 23: "&amp;$B$24,"")</f>
        <v/>
      </c>
      <c r="F208" s="0" t="str">
        <f aca="false">IF(B208=1,"Line amount does not reconcile","")</f>
        <v/>
      </c>
      <c r="G208" s="0" t="str">
        <f aca="false">IF(B208=1,"Forwarder shows "&amp;TEXT($P$24,"#,##0.00")&amp;" vs calculated "&amp;TEXT($L$24,"#,##0.00")&amp;IF($Y$24&gt;0," before tax / "&amp;TEXT($M$24,"#,##0.00")&amp;" incl. tax","")&amp;" "&amp;$I$24,"")</f>
        <v/>
      </c>
      <c r="H208" s="0" t="str">
        <f aca="false">IF(B208=1,"Ask the forwarder to correct the amount or explain the difference.","")</f>
        <v/>
      </c>
      <c r="I208" s="0" t="str">
        <f aca="false">IF(B208=1,IF(ISNUMBER($J$24),ROUND($R$24*$J$24,2),""),"")</f>
        <v/>
      </c>
      <c r="J208" s="0" t="str">
        <f aca="false">IF(B208=1,D208*1000+ROW(),"")</f>
        <v/>
      </c>
      <c r="K208" s="0" t="str">
        <f aca="false">IF(AND(B208=1,C208="Question"),ROW(),"")</f>
        <v/>
      </c>
    </row>
    <row r="209" customFormat="false" ht="15" hidden="false" customHeight="false" outlineLevel="0" collapsed="false">
      <c r="A209" s="0" t="s">
        <v>479</v>
      </c>
      <c r="B209" s="0" t="n">
        <f aca="false">IFERROR(IF($S$24&gt;0,1,0),0)</f>
        <v>0</v>
      </c>
      <c r="C209" s="0" t="str">
        <f aca="false">"Error"</f>
        <v>Error</v>
      </c>
      <c r="D209" s="0" t="n">
        <f aca="false">IF(C209="Error",1,IF(C209="Question",2,3))</f>
        <v>1</v>
      </c>
      <c r="E209" s="0" t="str">
        <f aca="false">IF(B209=1,"Line 23: "&amp;$B$24,"")</f>
        <v/>
      </c>
      <c r="F209" s="0" t="str">
        <f aca="false">IF(B209=1,"Rate above the agreed rate","")</f>
        <v/>
      </c>
      <c r="G209" s="0" t="str">
        <f aca="false">IF(B209=1,"Quoted "&amp;TEXT($H$24,"#,##0.00##")&amp;" vs agreed "&amp;TEXT(Audit!$M$76,"#,##0.00##")&amp;" "&amp;Audit!$D$76,"")</f>
        <v/>
      </c>
      <c r="H209" s="0" t="str">
        <f aca="false">IF(B209=1,"Ask the forwarder to apply the agreed rate.","")</f>
        <v/>
      </c>
      <c r="I209" s="0" t="str">
        <f aca="false">IF(B209=1,$S$24,"")</f>
        <v/>
      </c>
      <c r="J209" s="0" t="str">
        <f aca="false">IF(B209=1,D209*1000+ROW(),"")</f>
        <v/>
      </c>
      <c r="K209" s="0" t="str">
        <f aca="false">IF(AND(B209=1,C209="Question"),ROW(),"")</f>
        <v/>
      </c>
    </row>
    <row r="210" customFormat="false" ht="15" hidden="false" customHeight="false" outlineLevel="0" collapsed="false">
      <c r="A210" s="0" t="s">
        <v>480</v>
      </c>
      <c r="B210" s="0" t="n">
        <f aca="false">IFERROR(IF($X$24&lt;&gt;"",1,0),0)</f>
        <v>0</v>
      </c>
      <c r="C210" s="0" t="str">
        <f aca="false">"Question"</f>
        <v>Question</v>
      </c>
      <c r="D210" s="0" t="n">
        <f aca="false">IF(C210="Error",1,IF(C210="Question",2,3))</f>
        <v>2</v>
      </c>
      <c r="E210" s="0" t="str">
        <f aca="false">IF(B210=1,"Line 23: "&amp;$B$24,"")</f>
        <v/>
      </c>
      <c r="F210" s="0" t="str">
        <f aca="false">IF(B210=1,IF($X$24="flag",INDEX(Lists!$B$21:$B$25,MATCH($T$24,Lists!$A$21:$A$25,0)),IF($X$24="status","Status missing",IF($X$24="basis","Charging unit not stated",IF($X$24="rate","Rate missing",IF($X$24="base","Base amount not stated",IF($X$24="unclass","Charge not explained",IF($X$24="dup","Possible duplicate (same name, same service)","Charge not in the rate agreement"))))))),"")</f>
        <v/>
      </c>
      <c r="G210" s="0" t="str">
        <f aca="false">IF(B210=1,IF($X$24="flag",IF(Audit!$O$76&lt;&gt;"",Audit!$O$76,INDEX(Lists!$C$21:$C$25,MATCH($T$24,Lists!$A$21:$A$25,0))),IF($X$24="status","No status entered for this line.",IF($X$24="basis","The quotation does not say per what unit this is charged.",IF($X$24="rate","No rate entered for a firm or estimated charge.",IF($X$24="base","A percentage charge needs the amount it is calculated on.",IF($X$24="unclass","The charge does not fit a standard category or its purpose is unclear.",IF($X$24="dup","The same charge name appears more than once in the same service.","A rate agreement was provided but has no rate for this charge."))))))),"")</f>
        <v/>
      </c>
      <c r="H210" s="0" t="str">
        <f aca="false">IF(B210=1,IF($X$24="flag",INDEX(Lists!$E$21:$E$25,MATCH($T$24,Lists!$A$21:$A$25,0)),IF($X$24="status","Set the line status.",IF($X$24="basis","Ask the forwarder for the charging unit (per container, per B/L, per CBM...).",IF($X$24="rate","Enter the rate, or set the status to At cost / TBC.",IF($X$24="base","Ask the forwarder for the base amount (e.g. customs value).",IF($X$24="unclass","Ask the forwarder what this charge covers.",IF($X$24="dup","Ask whether both lines are needed; remove the duplicate.","Ask why the charge is not in the agreement; check the contract."))))))),"")</f>
        <v/>
      </c>
      <c r="I210" s="0" t="str">
        <f aca="false">IF(B210=1,IF(OR($X$24="dup",AND($X$24="flag",IFERROR(INDEX(Lists!$G$21:$G$25,MATCH($T$24,Lists!$A$21:$A$25,0)),0)=1)),IF(ISNUMBER($N$24),$N$24,""),""),"")</f>
        <v/>
      </c>
      <c r="J210" s="0" t="str">
        <f aca="false">IF(B210=1,D210*1000+ROW(),"")</f>
        <v/>
      </c>
      <c r="K210" s="0" t="str">
        <f aca="false">IF(AND(B210=1,C210="Question"),ROW(),"")</f>
        <v/>
      </c>
    </row>
    <row r="211" customFormat="false" ht="15" hidden="false" customHeight="false" outlineLevel="0" collapsed="false">
      <c r="A211" s="0" t="s">
        <v>481</v>
      </c>
      <c r="B211" s="0" t="n">
        <f aca="false">IFERROR(IF(AND($W$24=1,$D$24&lt;&gt;"Duties &amp; taxes"),1,0),0)</f>
        <v>0</v>
      </c>
      <c r="C211" s="0" t="str">
        <f aca="false">"Risk"</f>
        <v>Risk</v>
      </c>
      <c r="D211" s="0" t="n">
        <f aca="false">IF(C211="Error",1,IF(C211="Question",2,3))</f>
        <v>3</v>
      </c>
      <c r="E211" s="0" t="str">
        <f aca="false">IF(B211=1,"Line 23: "&amp;$B$24,"")</f>
        <v/>
      </c>
      <c r="F211" s="0" t="str">
        <f aca="false">IF(B211=1,IF($F$24="TBC","Amount to be confirmed","Charged at cost - amount not quoted"),"")</f>
        <v/>
      </c>
      <c r="G211" s="0" t="str">
        <f aca="false">IF(B211=1,"The final cost is unknown until invoiced.","")</f>
        <v/>
      </c>
      <c r="H211" s="0" t="str">
        <f aca="false">IF(B211=1,"Ask for an indicative amount; tell the client it may be added.","")</f>
        <v/>
      </c>
      <c r="I211" s="0" t="str">
        <f aca="false">IF(B211=1,"","")</f>
        <v/>
      </c>
      <c r="J211" s="0" t="str">
        <f aca="false">IF(B211=1,D211*1000+ROW(),"")</f>
        <v/>
      </c>
      <c r="K211" s="0" t="str">
        <f aca="false">IF(AND(B211=1,C211="Question"),ROW(),"")</f>
        <v/>
      </c>
    </row>
    <row r="212" customFormat="false" ht="15" hidden="false" customHeight="false" outlineLevel="0" collapsed="false">
      <c r="A212" s="0" t="s">
        <v>482</v>
      </c>
      <c r="B212" s="0" t="n">
        <f aca="false">IFERROR(IF(LEFT($Q$25,5)="Error",1,0),0)</f>
        <v>0</v>
      </c>
      <c r="C212" s="0" t="str">
        <f aca="false">"Error"</f>
        <v>Error</v>
      </c>
      <c r="D212" s="0" t="n">
        <f aca="false">IF(C212="Error",1,IF(C212="Question",2,3))</f>
        <v>1</v>
      </c>
      <c r="E212" s="0" t="str">
        <f aca="false">IF(B212=1,"Line 24: "&amp;$B$25,"")</f>
        <v/>
      </c>
      <c r="F212" s="0" t="str">
        <f aca="false">IF(B212=1,"Line amount does not reconcile","")</f>
        <v/>
      </c>
      <c r="G212" s="0" t="str">
        <f aca="false">IF(B212=1,"Forwarder shows "&amp;TEXT($P$25,"#,##0.00")&amp;" vs calculated "&amp;TEXT($L$25,"#,##0.00")&amp;IF($Y$25&gt;0," before tax / "&amp;TEXT($M$25,"#,##0.00")&amp;" incl. tax","")&amp;" "&amp;$I$25,"")</f>
        <v/>
      </c>
      <c r="H212" s="0" t="str">
        <f aca="false">IF(B212=1,"Ask the forwarder to correct the amount or explain the difference.","")</f>
        <v/>
      </c>
      <c r="I212" s="0" t="str">
        <f aca="false">IF(B212=1,IF(ISNUMBER($J$25),ROUND($R$25*$J$25,2),""),"")</f>
        <v/>
      </c>
      <c r="J212" s="0" t="str">
        <f aca="false">IF(B212=1,D212*1000+ROW(),"")</f>
        <v/>
      </c>
      <c r="K212" s="0" t="str">
        <f aca="false">IF(AND(B212=1,C212="Question"),ROW(),"")</f>
        <v/>
      </c>
    </row>
    <row r="213" customFormat="false" ht="15" hidden="false" customHeight="false" outlineLevel="0" collapsed="false">
      <c r="A213" s="0" t="s">
        <v>483</v>
      </c>
      <c r="B213" s="0" t="n">
        <f aca="false">IFERROR(IF($S$25&gt;0,1,0),0)</f>
        <v>0</v>
      </c>
      <c r="C213" s="0" t="str">
        <f aca="false">"Error"</f>
        <v>Error</v>
      </c>
      <c r="D213" s="0" t="n">
        <f aca="false">IF(C213="Error",1,IF(C213="Question",2,3))</f>
        <v>1</v>
      </c>
      <c r="E213" s="0" t="str">
        <f aca="false">IF(B213=1,"Line 24: "&amp;$B$25,"")</f>
        <v/>
      </c>
      <c r="F213" s="0" t="str">
        <f aca="false">IF(B213=1,"Rate above the agreed rate","")</f>
        <v/>
      </c>
      <c r="G213" s="0" t="str">
        <f aca="false">IF(B213=1,"Quoted "&amp;TEXT($H$25,"#,##0.00##")&amp;" vs agreed "&amp;TEXT(Audit!$M$77,"#,##0.00##")&amp;" "&amp;Audit!$D$77,"")</f>
        <v/>
      </c>
      <c r="H213" s="0" t="str">
        <f aca="false">IF(B213=1,"Ask the forwarder to apply the agreed rate.","")</f>
        <v/>
      </c>
      <c r="I213" s="0" t="str">
        <f aca="false">IF(B213=1,$S$25,"")</f>
        <v/>
      </c>
      <c r="J213" s="0" t="str">
        <f aca="false">IF(B213=1,D213*1000+ROW(),"")</f>
        <v/>
      </c>
      <c r="K213" s="0" t="str">
        <f aca="false">IF(AND(B213=1,C213="Question"),ROW(),"")</f>
        <v/>
      </c>
    </row>
    <row r="214" customFormat="false" ht="15" hidden="false" customHeight="false" outlineLevel="0" collapsed="false">
      <c r="A214" s="0" t="s">
        <v>484</v>
      </c>
      <c r="B214" s="0" t="n">
        <f aca="false">IFERROR(IF($X$25&lt;&gt;"",1,0),0)</f>
        <v>0</v>
      </c>
      <c r="C214" s="0" t="str">
        <f aca="false">"Question"</f>
        <v>Question</v>
      </c>
      <c r="D214" s="0" t="n">
        <f aca="false">IF(C214="Error",1,IF(C214="Question",2,3))</f>
        <v>2</v>
      </c>
      <c r="E214" s="0" t="str">
        <f aca="false">IF(B214=1,"Line 24: "&amp;$B$25,"")</f>
        <v/>
      </c>
      <c r="F214" s="0" t="str">
        <f aca="false">IF(B214=1,IF($X$25="flag",INDEX(Lists!$B$21:$B$25,MATCH($T$25,Lists!$A$21:$A$25,0)),IF($X$25="status","Status missing",IF($X$25="basis","Charging unit not stated",IF($X$25="rate","Rate missing",IF($X$25="base","Base amount not stated",IF($X$25="unclass","Charge not explained",IF($X$25="dup","Possible duplicate (same name, same service)","Charge not in the rate agreement"))))))),"")</f>
        <v/>
      </c>
      <c r="G214" s="0" t="str">
        <f aca="false">IF(B214=1,IF($X$25="flag",IF(Audit!$O$77&lt;&gt;"",Audit!$O$77,INDEX(Lists!$C$21:$C$25,MATCH($T$25,Lists!$A$21:$A$25,0))),IF($X$25="status","No status entered for this line.",IF($X$25="basis","The quotation does not say per what unit this is charged.",IF($X$25="rate","No rate entered for a firm or estimated charge.",IF($X$25="base","A percentage charge needs the amount it is calculated on.",IF($X$25="unclass","The charge does not fit a standard category or its purpose is unclear.",IF($X$25="dup","The same charge name appears more than once in the same service.","A rate agreement was provided but has no rate for this charge."))))))),"")</f>
        <v/>
      </c>
      <c r="H214" s="0" t="str">
        <f aca="false">IF(B214=1,IF($X$25="flag",INDEX(Lists!$E$21:$E$25,MATCH($T$25,Lists!$A$21:$A$25,0)),IF($X$25="status","Set the line status.",IF($X$25="basis","Ask the forwarder for the charging unit (per container, per B/L, per CBM...).",IF($X$25="rate","Enter the rate, or set the status to At cost / TBC.",IF($X$25="base","Ask the forwarder for the base amount (e.g. customs value).",IF($X$25="unclass","Ask the forwarder what this charge covers.",IF($X$25="dup","Ask whether both lines are needed; remove the duplicate.","Ask why the charge is not in the agreement; check the contract."))))))),"")</f>
        <v/>
      </c>
      <c r="I214" s="0" t="str">
        <f aca="false">IF(B214=1,IF(OR($X$25="dup",AND($X$25="flag",IFERROR(INDEX(Lists!$G$21:$G$25,MATCH($T$25,Lists!$A$21:$A$25,0)),0)=1)),IF(ISNUMBER($N$25),$N$25,""),""),"")</f>
        <v/>
      </c>
      <c r="J214" s="0" t="str">
        <f aca="false">IF(B214=1,D214*1000+ROW(),"")</f>
        <v/>
      </c>
      <c r="K214" s="0" t="str">
        <f aca="false">IF(AND(B214=1,C214="Question"),ROW(),"")</f>
        <v/>
      </c>
    </row>
    <row r="215" customFormat="false" ht="15" hidden="false" customHeight="false" outlineLevel="0" collapsed="false">
      <c r="A215" s="0" t="s">
        <v>485</v>
      </c>
      <c r="B215" s="0" t="n">
        <f aca="false">IFERROR(IF(AND($W$25=1,$D$25&lt;&gt;"Duties &amp; taxes"),1,0),0)</f>
        <v>0</v>
      </c>
      <c r="C215" s="0" t="str">
        <f aca="false">"Risk"</f>
        <v>Risk</v>
      </c>
      <c r="D215" s="0" t="n">
        <f aca="false">IF(C215="Error",1,IF(C215="Question",2,3))</f>
        <v>3</v>
      </c>
      <c r="E215" s="0" t="str">
        <f aca="false">IF(B215=1,"Line 24: "&amp;$B$25,"")</f>
        <v/>
      </c>
      <c r="F215" s="0" t="str">
        <f aca="false">IF(B215=1,IF($F$25="TBC","Amount to be confirmed","Charged at cost - amount not quoted"),"")</f>
        <v/>
      </c>
      <c r="G215" s="0" t="str">
        <f aca="false">IF(B215=1,"The final cost is unknown until invoiced.","")</f>
        <v/>
      </c>
      <c r="H215" s="0" t="str">
        <f aca="false">IF(B215=1,"Ask for an indicative amount; tell the client it may be added.","")</f>
        <v/>
      </c>
      <c r="I215" s="0" t="str">
        <f aca="false">IF(B215=1,"","")</f>
        <v/>
      </c>
      <c r="J215" s="0" t="str">
        <f aca="false">IF(B215=1,D215*1000+ROW(),"")</f>
        <v/>
      </c>
      <c r="K215" s="0" t="str">
        <f aca="false">IF(AND(B215=1,C215="Question"),ROW(),"")</f>
        <v/>
      </c>
    </row>
    <row r="216" customFormat="false" ht="15" hidden="false" customHeight="false" outlineLevel="0" collapsed="false">
      <c r="A216" s="0" t="s">
        <v>486</v>
      </c>
      <c r="B216" s="0" t="n">
        <f aca="false">IFERROR(IF(LEFT($Q$26,5)="Error",1,0),0)</f>
        <v>0</v>
      </c>
      <c r="C216" s="0" t="str">
        <f aca="false">"Error"</f>
        <v>Error</v>
      </c>
      <c r="D216" s="0" t="n">
        <f aca="false">IF(C216="Error",1,IF(C216="Question",2,3))</f>
        <v>1</v>
      </c>
      <c r="E216" s="0" t="str">
        <f aca="false">IF(B216=1,"Line 25: "&amp;$B$26,"")</f>
        <v/>
      </c>
      <c r="F216" s="0" t="str">
        <f aca="false">IF(B216=1,"Line amount does not reconcile","")</f>
        <v/>
      </c>
      <c r="G216" s="0" t="str">
        <f aca="false">IF(B216=1,"Forwarder shows "&amp;TEXT($P$26,"#,##0.00")&amp;" vs calculated "&amp;TEXT($L$26,"#,##0.00")&amp;IF($Y$26&gt;0," before tax / "&amp;TEXT($M$26,"#,##0.00")&amp;" incl. tax","")&amp;" "&amp;$I$26,"")</f>
        <v/>
      </c>
      <c r="H216" s="0" t="str">
        <f aca="false">IF(B216=1,"Ask the forwarder to correct the amount or explain the difference.","")</f>
        <v/>
      </c>
      <c r="I216" s="0" t="str">
        <f aca="false">IF(B216=1,IF(ISNUMBER($J$26),ROUND($R$26*$J$26,2),""),"")</f>
        <v/>
      </c>
      <c r="J216" s="0" t="str">
        <f aca="false">IF(B216=1,D216*1000+ROW(),"")</f>
        <v/>
      </c>
      <c r="K216" s="0" t="str">
        <f aca="false">IF(AND(B216=1,C216="Question"),ROW(),"")</f>
        <v/>
      </c>
    </row>
    <row r="217" customFormat="false" ht="15" hidden="false" customHeight="false" outlineLevel="0" collapsed="false">
      <c r="A217" s="0" t="s">
        <v>487</v>
      </c>
      <c r="B217" s="0" t="n">
        <f aca="false">IFERROR(IF($S$26&gt;0,1,0),0)</f>
        <v>0</v>
      </c>
      <c r="C217" s="0" t="str">
        <f aca="false">"Error"</f>
        <v>Error</v>
      </c>
      <c r="D217" s="0" t="n">
        <f aca="false">IF(C217="Error",1,IF(C217="Question",2,3))</f>
        <v>1</v>
      </c>
      <c r="E217" s="0" t="str">
        <f aca="false">IF(B217=1,"Line 25: "&amp;$B$26,"")</f>
        <v/>
      </c>
      <c r="F217" s="0" t="str">
        <f aca="false">IF(B217=1,"Rate above the agreed rate","")</f>
        <v/>
      </c>
      <c r="G217" s="0" t="str">
        <f aca="false">IF(B217=1,"Quoted "&amp;TEXT($H$26,"#,##0.00##")&amp;" vs agreed "&amp;TEXT(Audit!$M$78,"#,##0.00##")&amp;" "&amp;Audit!$D$78,"")</f>
        <v/>
      </c>
      <c r="H217" s="0" t="str">
        <f aca="false">IF(B217=1,"Ask the forwarder to apply the agreed rate.","")</f>
        <v/>
      </c>
      <c r="I217" s="0" t="str">
        <f aca="false">IF(B217=1,$S$26,"")</f>
        <v/>
      </c>
      <c r="J217" s="0" t="str">
        <f aca="false">IF(B217=1,D217*1000+ROW(),"")</f>
        <v/>
      </c>
      <c r="K217" s="0" t="str">
        <f aca="false">IF(AND(B217=1,C217="Question"),ROW(),"")</f>
        <v/>
      </c>
    </row>
    <row r="218" customFormat="false" ht="15" hidden="false" customHeight="false" outlineLevel="0" collapsed="false">
      <c r="A218" s="0" t="s">
        <v>488</v>
      </c>
      <c r="B218" s="0" t="n">
        <f aca="false">IFERROR(IF($X$26&lt;&gt;"",1,0),0)</f>
        <v>0</v>
      </c>
      <c r="C218" s="0" t="str">
        <f aca="false">"Question"</f>
        <v>Question</v>
      </c>
      <c r="D218" s="0" t="n">
        <f aca="false">IF(C218="Error",1,IF(C218="Question",2,3))</f>
        <v>2</v>
      </c>
      <c r="E218" s="0" t="str">
        <f aca="false">IF(B218=1,"Line 25: "&amp;$B$26,"")</f>
        <v/>
      </c>
      <c r="F218" s="0" t="str">
        <f aca="false">IF(B218=1,IF($X$26="flag",INDEX(Lists!$B$21:$B$25,MATCH($T$26,Lists!$A$21:$A$25,0)),IF($X$26="status","Status missing",IF($X$26="basis","Charging unit not stated",IF($X$26="rate","Rate missing",IF($X$26="base","Base amount not stated",IF($X$26="unclass","Charge not explained",IF($X$26="dup","Possible duplicate (same name, same service)","Charge not in the rate agreement"))))))),"")</f>
        <v/>
      </c>
      <c r="G218" s="0" t="str">
        <f aca="false">IF(B218=1,IF($X$26="flag",IF(Audit!$O$78&lt;&gt;"",Audit!$O$78,INDEX(Lists!$C$21:$C$25,MATCH($T$26,Lists!$A$21:$A$25,0))),IF($X$26="status","No status entered for this line.",IF($X$26="basis","The quotation does not say per what unit this is charged.",IF($X$26="rate","No rate entered for a firm or estimated charge.",IF($X$26="base","A percentage charge needs the amount it is calculated on.",IF($X$26="unclass","The charge does not fit a standard category or its purpose is unclear.",IF($X$26="dup","The same charge name appears more than once in the same service.","A rate agreement was provided but has no rate for this charge."))))))),"")</f>
        <v/>
      </c>
      <c r="H218" s="0" t="str">
        <f aca="false">IF(B218=1,IF($X$26="flag",INDEX(Lists!$E$21:$E$25,MATCH($T$26,Lists!$A$21:$A$25,0)),IF($X$26="status","Set the line status.",IF($X$26="basis","Ask the forwarder for the charging unit (per container, per B/L, per CBM...).",IF($X$26="rate","Enter the rate, or set the status to At cost / TBC.",IF($X$26="base","Ask the forwarder for the base amount (e.g. customs value).",IF($X$26="unclass","Ask the forwarder what this charge covers.",IF($X$26="dup","Ask whether both lines are needed; remove the duplicate.","Ask why the charge is not in the agreement; check the contract."))))))),"")</f>
        <v/>
      </c>
      <c r="I218" s="0" t="str">
        <f aca="false">IF(B218=1,IF(OR($X$26="dup",AND($X$26="flag",IFERROR(INDEX(Lists!$G$21:$G$25,MATCH($T$26,Lists!$A$21:$A$25,0)),0)=1)),IF(ISNUMBER($N$26),$N$26,""),""),"")</f>
        <v/>
      </c>
      <c r="J218" s="0" t="str">
        <f aca="false">IF(B218=1,D218*1000+ROW(),"")</f>
        <v/>
      </c>
      <c r="K218" s="0" t="str">
        <f aca="false">IF(AND(B218=1,C218="Question"),ROW(),"")</f>
        <v/>
      </c>
    </row>
    <row r="219" customFormat="false" ht="15" hidden="false" customHeight="false" outlineLevel="0" collapsed="false">
      <c r="A219" s="0" t="s">
        <v>489</v>
      </c>
      <c r="B219" s="0" t="n">
        <f aca="false">IFERROR(IF(AND($W$26=1,$D$26&lt;&gt;"Duties &amp; taxes"),1,0),0)</f>
        <v>0</v>
      </c>
      <c r="C219" s="0" t="str">
        <f aca="false">"Risk"</f>
        <v>Risk</v>
      </c>
      <c r="D219" s="0" t="n">
        <f aca="false">IF(C219="Error",1,IF(C219="Question",2,3))</f>
        <v>3</v>
      </c>
      <c r="E219" s="0" t="str">
        <f aca="false">IF(B219=1,"Line 25: "&amp;$B$26,"")</f>
        <v/>
      </c>
      <c r="F219" s="0" t="str">
        <f aca="false">IF(B219=1,IF($F$26="TBC","Amount to be confirmed","Charged at cost - amount not quoted"),"")</f>
        <v/>
      </c>
      <c r="G219" s="0" t="str">
        <f aca="false">IF(B219=1,"The final cost is unknown until invoiced.","")</f>
        <v/>
      </c>
      <c r="H219" s="0" t="str">
        <f aca="false">IF(B219=1,"Ask for an indicative amount; tell the client it may be added.","")</f>
        <v/>
      </c>
      <c r="I219" s="0" t="str">
        <f aca="false">IF(B219=1,"","")</f>
        <v/>
      </c>
      <c r="J219" s="0" t="str">
        <f aca="false">IF(B219=1,D219*1000+ROW(),"")</f>
        <v/>
      </c>
      <c r="K219" s="0" t="str">
        <f aca="false">IF(AND(B219=1,C219="Question"),ROW(),"")</f>
        <v/>
      </c>
    </row>
    <row r="220" customFormat="false" ht="15" hidden="false" customHeight="false" outlineLevel="0" collapsed="false">
      <c r="A220" s="0" t="s">
        <v>490</v>
      </c>
      <c r="B220" s="0" t="n">
        <f aca="false">IFERROR(IF(LEFT($Q$27,5)="Error",1,0),0)</f>
        <v>0</v>
      </c>
      <c r="C220" s="0" t="str">
        <f aca="false">"Error"</f>
        <v>Error</v>
      </c>
      <c r="D220" s="0" t="n">
        <f aca="false">IF(C220="Error",1,IF(C220="Question",2,3))</f>
        <v>1</v>
      </c>
      <c r="E220" s="0" t="str">
        <f aca="false">IF(B220=1,"Line 26: "&amp;$B$27,"")</f>
        <v/>
      </c>
      <c r="F220" s="0" t="str">
        <f aca="false">IF(B220=1,"Line amount does not reconcile","")</f>
        <v/>
      </c>
      <c r="G220" s="0" t="str">
        <f aca="false">IF(B220=1,"Forwarder shows "&amp;TEXT($P$27,"#,##0.00")&amp;" vs calculated "&amp;TEXT($L$27,"#,##0.00")&amp;IF($Y$27&gt;0," before tax / "&amp;TEXT($M$27,"#,##0.00")&amp;" incl. tax","")&amp;" "&amp;$I$27,"")</f>
        <v/>
      </c>
      <c r="H220" s="0" t="str">
        <f aca="false">IF(B220=1,"Ask the forwarder to correct the amount or explain the difference.","")</f>
        <v/>
      </c>
      <c r="I220" s="0" t="str">
        <f aca="false">IF(B220=1,IF(ISNUMBER($J$27),ROUND($R$27*$J$27,2),""),"")</f>
        <v/>
      </c>
      <c r="J220" s="0" t="str">
        <f aca="false">IF(B220=1,D220*1000+ROW(),"")</f>
        <v/>
      </c>
      <c r="K220" s="0" t="str">
        <f aca="false">IF(AND(B220=1,C220="Question"),ROW(),"")</f>
        <v/>
      </c>
    </row>
    <row r="221" customFormat="false" ht="15" hidden="false" customHeight="false" outlineLevel="0" collapsed="false">
      <c r="A221" s="0" t="s">
        <v>491</v>
      </c>
      <c r="B221" s="0" t="n">
        <f aca="false">IFERROR(IF($S$27&gt;0,1,0),0)</f>
        <v>0</v>
      </c>
      <c r="C221" s="0" t="str">
        <f aca="false">"Error"</f>
        <v>Error</v>
      </c>
      <c r="D221" s="0" t="n">
        <f aca="false">IF(C221="Error",1,IF(C221="Question",2,3))</f>
        <v>1</v>
      </c>
      <c r="E221" s="0" t="str">
        <f aca="false">IF(B221=1,"Line 26: "&amp;$B$27,"")</f>
        <v/>
      </c>
      <c r="F221" s="0" t="str">
        <f aca="false">IF(B221=1,"Rate above the agreed rate","")</f>
        <v/>
      </c>
      <c r="G221" s="0" t="str">
        <f aca="false">IF(B221=1,"Quoted "&amp;TEXT($H$27,"#,##0.00##")&amp;" vs agreed "&amp;TEXT(Audit!$M$79,"#,##0.00##")&amp;" "&amp;Audit!$D$79,"")</f>
        <v/>
      </c>
      <c r="H221" s="0" t="str">
        <f aca="false">IF(B221=1,"Ask the forwarder to apply the agreed rate.","")</f>
        <v/>
      </c>
      <c r="I221" s="0" t="str">
        <f aca="false">IF(B221=1,$S$27,"")</f>
        <v/>
      </c>
      <c r="J221" s="0" t="str">
        <f aca="false">IF(B221=1,D221*1000+ROW(),"")</f>
        <v/>
      </c>
      <c r="K221" s="0" t="str">
        <f aca="false">IF(AND(B221=1,C221="Question"),ROW(),"")</f>
        <v/>
      </c>
    </row>
    <row r="222" customFormat="false" ht="15" hidden="false" customHeight="false" outlineLevel="0" collapsed="false">
      <c r="A222" s="0" t="s">
        <v>492</v>
      </c>
      <c r="B222" s="0" t="n">
        <f aca="false">IFERROR(IF($X$27&lt;&gt;"",1,0),0)</f>
        <v>0</v>
      </c>
      <c r="C222" s="0" t="str">
        <f aca="false">"Question"</f>
        <v>Question</v>
      </c>
      <c r="D222" s="0" t="n">
        <f aca="false">IF(C222="Error",1,IF(C222="Question",2,3))</f>
        <v>2</v>
      </c>
      <c r="E222" s="0" t="str">
        <f aca="false">IF(B222=1,"Line 26: "&amp;$B$27,"")</f>
        <v/>
      </c>
      <c r="F222" s="0" t="str">
        <f aca="false">IF(B222=1,IF($X$27="flag",INDEX(Lists!$B$21:$B$25,MATCH($T$27,Lists!$A$21:$A$25,0)),IF($X$27="status","Status missing",IF($X$27="basis","Charging unit not stated",IF($X$27="rate","Rate missing",IF($X$27="base","Base amount not stated",IF($X$27="unclass","Charge not explained",IF($X$27="dup","Possible duplicate (same name, same service)","Charge not in the rate agreement"))))))),"")</f>
        <v/>
      </c>
      <c r="G222" s="0" t="str">
        <f aca="false">IF(B222=1,IF($X$27="flag",IF(Audit!$O$79&lt;&gt;"",Audit!$O$79,INDEX(Lists!$C$21:$C$25,MATCH($T$27,Lists!$A$21:$A$25,0))),IF($X$27="status","No status entered for this line.",IF($X$27="basis","The quotation does not say per what unit this is charged.",IF($X$27="rate","No rate entered for a firm or estimated charge.",IF($X$27="base","A percentage charge needs the amount it is calculated on.",IF($X$27="unclass","The charge does not fit a standard category or its purpose is unclear.",IF($X$27="dup","The same charge name appears more than once in the same service.","A rate agreement was provided but has no rate for this charge."))))))),"")</f>
        <v/>
      </c>
      <c r="H222" s="0" t="str">
        <f aca="false">IF(B222=1,IF($X$27="flag",INDEX(Lists!$E$21:$E$25,MATCH($T$27,Lists!$A$21:$A$25,0)),IF($X$27="status","Set the line status.",IF($X$27="basis","Ask the forwarder for the charging unit (per container, per B/L, per CBM...).",IF($X$27="rate","Enter the rate, or set the status to At cost / TBC.",IF($X$27="base","Ask the forwarder for the base amount (e.g. customs value).",IF($X$27="unclass","Ask the forwarder what this charge covers.",IF($X$27="dup","Ask whether both lines are needed; remove the duplicate.","Ask why the charge is not in the agreement; check the contract."))))))),"")</f>
        <v/>
      </c>
      <c r="I222" s="0" t="str">
        <f aca="false">IF(B222=1,IF(OR($X$27="dup",AND($X$27="flag",IFERROR(INDEX(Lists!$G$21:$G$25,MATCH($T$27,Lists!$A$21:$A$25,0)),0)=1)),IF(ISNUMBER($N$27),$N$27,""),""),"")</f>
        <v/>
      </c>
      <c r="J222" s="0" t="str">
        <f aca="false">IF(B222=1,D222*1000+ROW(),"")</f>
        <v/>
      </c>
      <c r="K222" s="0" t="str">
        <f aca="false">IF(AND(B222=1,C222="Question"),ROW(),"")</f>
        <v/>
      </c>
    </row>
    <row r="223" customFormat="false" ht="15" hidden="false" customHeight="false" outlineLevel="0" collapsed="false">
      <c r="A223" s="0" t="s">
        <v>493</v>
      </c>
      <c r="B223" s="0" t="n">
        <f aca="false">IFERROR(IF(AND($W$27=1,$D$27&lt;&gt;"Duties &amp; taxes"),1,0),0)</f>
        <v>0</v>
      </c>
      <c r="C223" s="0" t="str">
        <f aca="false">"Risk"</f>
        <v>Risk</v>
      </c>
      <c r="D223" s="0" t="n">
        <f aca="false">IF(C223="Error",1,IF(C223="Question",2,3))</f>
        <v>3</v>
      </c>
      <c r="E223" s="0" t="str">
        <f aca="false">IF(B223=1,"Line 26: "&amp;$B$27,"")</f>
        <v/>
      </c>
      <c r="F223" s="0" t="str">
        <f aca="false">IF(B223=1,IF($F$27="TBC","Amount to be confirmed","Charged at cost - amount not quoted"),"")</f>
        <v/>
      </c>
      <c r="G223" s="0" t="str">
        <f aca="false">IF(B223=1,"The final cost is unknown until invoiced.","")</f>
        <v/>
      </c>
      <c r="H223" s="0" t="str">
        <f aca="false">IF(B223=1,"Ask for an indicative amount; tell the client it may be added.","")</f>
        <v/>
      </c>
      <c r="I223" s="0" t="str">
        <f aca="false">IF(B223=1,"","")</f>
        <v/>
      </c>
      <c r="J223" s="0" t="str">
        <f aca="false">IF(B223=1,D223*1000+ROW(),"")</f>
        <v/>
      </c>
      <c r="K223" s="0" t="str">
        <f aca="false">IF(AND(B223=1,C223="Question"),ROW(),"")</f>
        <v/>
      </c>
    </row>
    <row r="224" customFormat="false" ht="15" hidden="false" customHeight="false" outlineLevel="0" collapsed="false">
      <c r="A224" s="0" t="s">
        <v>494</v>
      </c>
      <c r="B224" s="0" t="n">
        <f aca="false">IFERROR(IF(LEFT($Q$28,5)="Error",1,0),0)</f>
        <v>0</v>
      </c>
      <c r="C224" s="0" t="str">
        <f aca="false">"Error"</f>
        <v>Error</v>
      </c>
      <c r="D224" s="0" t="n">
        <f aca="false">IF(C224="Error",1,IF(C224="Question",2,3))</f>
        <v>1</v>
      </c>
      <c r="E224" s="0" t="str">
        <f aca="false">IF(B224=1,"Line 27: "&amp;$B$28,"")</f>
        <v/>
      </c>
      <c r="F224" s="0" t="str">
        <f aca="false">IF(B224=1,"Line amount does not reconcile","")</f>
        <v/>
      </c>
      <c r="G224" s="0" t="str">
        <f aca="false">IF(B224=1,"Forwarder shows "&amp;TEXT($P$28,"#,##0.00")&amp;" vs calculated "&amp;TEXT($L$28,"#,##0.00")&amp;IF($Y$28&gt;0," before tax / "&amp;TEXT($M$28,"#,##0.00")&amp;" incl. tax","")&amp;" "&amp;$I$28,"")</f>
        <v/>
      </c>
      <c r="H224" s="0" t="str">
        <f aca="false">IF(B224=1,"Ask the forwarder to correct the amount or explain the difference.","")</f>
        <v/>
      </c>
      <c r="I224" s="0" t="str">
        <f aca="false">IF(B224=1,IF(ISNUMBER($J$28),ROUND($R$28*$J$28,2),""),"")</f>
        <v/>
      </c>
      <c r="J224" s="0" t="str">
        <f aca="false">IF(B224=1,D224*1000+ROW(),"")</f>
        <v/>
      </c>
      <c r="K224" s="0" t="str">
        <f aca="false">IF(AND(B224=1,C224="Question"),ROW(),"")</f>
        <v/>
      </c>
    </row>
    <row r="225" customFormat="false" ht="15" hidden="false" customHeight="false" outlineLevel="0" collapsed="false">
      <c r="A225" s="0" t="s">
        <v>495</v>
      </c>
      <c r="B225" s="0" t="n">
        <f aca="false">IFERROR(IF($S$28&gt;0,1,0),0)</f>
        <v>0</v>
      </c>
      <c r="C225" s="0" t="str">
        <f aca="false">"Error"</f>
        <v>Error</v>
      </c>
      <c r="D225" s="0" t="n">
        <f aca="false">IF(C225="Error",1,IF(C225="Question",2,3))</f>
        <v>1</v>
      </c>
      <c r="E225" s="0" t="str">
        <f aca="false">IF(B225=1,"Line 27: "&amp;$B$28,"")</f>
        <v/>
      </c>
      <c r="F225" s="0" t="str">
        <f aca="false">IF(B225=1,"Rate above the agreed rate","")</f>
        <v/>
      </c>
      <c r="G225" s="0" t="str">
        <f aca="false">IF(B225=1,"Quoted "&amp;TEXT($H$28,"#,##0.00##")&amp;" vs agreed "&amp;TEXT(Audit!$M$80,"#,##0.00##")&amp;" "&amp;Audit!$D$80,"")</f>
        <v/>
      </c>
      <c r="H225" s="0" t="str">
        <f aca="false">IF(B225=1,"Ask the forwarder to apply the agreed rate.","")</f>
        <v/>
      </c>
      <c r="I225" s="0" t="str">
        <f aca="false">IF(B225=1,$S$28,"")</f>
        <v/>
      </c>
      <c r="J225" s="0" t="str">
        <f aca="false">IF(B225=1,D225*1000+ROW(),"")</f>
        <v/>
      </c>
      <c r="K225" s="0" t="str">
        <f aca="false">IF(AND(B225=1,C225="Question"),ROW(),"")</f>
        <v/>
      </c>
    </row>
    <row r="226" customFormat="false" ht="15" hidden="false" customHeight="false" outlineLevel="0" collapsed="false">
      <c r="A226" s="0" t="s">
        <v>496</v>
      </c>
      <c r="B226" s="0" t="n">
        <f aca="false">IFERROR(IF($X$28&lt;&gt;"",1,0),0)</f>
        <v>0</v>
      </c>
      <c r="C226" s="0" t="str">
        <f aca="false">"Question"</f>
        <v>Question</v>
      </c>
      <c r="D226" s="0" t="n">
        <f aca="false">IF(C226="Error",1,IF(C226="Question",2,3))</f>
        <v>2</v>
      </c>
      <c r="E226" s="0" t="str">
        <f aca="false">IF(B226=1,"Line 27: "&amp;$B$28,"")</f>
        <v/>
      </c>
      <c r="F226" s="0" t="str">
        <f aca="false">IF(B226=1,IF($X$28="flag",INDEX(Lists!$B$21:$B$25,MATCH($T$28,Lists!$A$21:$A$25,0)),IF($X$28="status","Status missing",IF($X$28="basis","Charging unit not stated",IF($X$28="rate","Rate missing",IF($X$28="base","Base amount not stated",IF($X$28="unclass","Charge not explained",IF($X$28="dup","Possible duplicate (same name, same service)","Charge not in the rate agreement"))))))),"")</f>
        <v/>
      </c>
      <c r="G226" s="0" t="str">
        <f aca="false">IF(B226=1,IF($X$28="flag",IF(Audit!$O$80&lt;&gt;"",Audit!$O$80,INDEX(Lists!$C$21:$C$25,MATCH($T$28,Lists!$A$21:$A$25,0))),IF($X$28="status","No status entered for this line.",IF($X$28="basis","The quotation does not say per what unit this is charged.",IF($X$28="rate","No rate entered for a firm or estimated charge.",IF($X$28="base","A percentage charge needs the amount it is calculated on.",IF($X$28="unclass","The charge does not fit a standard category or its purpose is unclear.",IF($X$28="dup","The same charge name appears more than once in the same service.","A rate agreement was provided but has no rate for this charge."))))))),"")</f>
        <v/>
      </c>
      <c r="H226" s="0" t="str">
        <f aca="false">IF(B226=1,IF($X$28="flag",INDEX(Lists!$E$21:$E$25,MATCH($T$28,Lists!$A$21:$A$25,0)),IF($X$28="status","Set the line status.",IF($X$28="basis","Ask the forwarder for the charging unit (per container, per B/L, per CBM...).",IF($X$28="rate","Enter the rate, or set the status to At cost / TBC.",IF($X$28="base","Ask the forwarder for the base amount (e.g. customs value).",IF($X$28="unclass","Ask the forwarder what this charge covers.",IF($X$28="dup","Ask whether both lines are needed; remove the duplicate.","Ask why the charge is not in the agreement; check the contract."))))))),"")</f>
        <v/>
      </c>
      <c r="I226" s="0" t="str">
        <f aca="false">IF(B226=1,IF(OR($X$28="dup",AND($X$28="flag",IFERROR(INDEX(Lists!$G$21:$G$25,MATCH($T$28,Lists!$A$21:$A$25,0)),0)=1)),IF(ISNUMBER($N$28),$N$28,""),""),"")</f>
        <v/>
      </c>
      <c r="J226" s="0" t="str">
        <f aca="false">IF(B226=1,D226*1000+ROW(),"")</f>
        <v/>
      </c>
      <c r="K226" s="0" t="str">
        <f aca="false">IF(AND(B226=1,C226="Question"),ROW(),"")</f>
        <v/>
      </c>
    </row>
    <row r="227" customFormat="false" ht="15" hidden="false" customHeight="false" outlineLevel="0" collapsed="false">
      <c r="A227" s="0" t="s">
        <v>497</v>
      </c>
      <c r="B227" s="0" t="n">
        <f aca="false">IFERROR(IF(AND($W$28=1,$D$28&lt;&gt;"Duties &amp; taxes"),1,0),0)</f>
        <v>0</v>
      </c>
      <c r="C227" s="0" t="str">
        <f aca="false">"Risk"</f>
        <v>Risk</v>
      </c>
      <c r="D227" s="0" t="n">
        <f aca="false">IF(C227="Error",1,IF(C227="Question",2,3))</f>
        <v>3</v>
      </c>
      <c r="E227" s="0" t="str">
        <f aca="false">IF(B227=1,"Line 27: "&amp;$B$28,"")</f>
        <v/>
      </c>
      <c r="F227" s="0" t="str">
        <f aca="false">IF(B227=1,IF($F$28="TBC","Amount to be confirmed","Charged at cost - amount not quoted"),"")</f>
        <v/>
      </c>
      <c r="G227" s="0" t="str">
        <f aca="false">IF(B227=1,"The final cost is unknown until invoiced.","")</f>
        <v/>
      </c>
      <c r="H227" s="0" t="str">
        <f aca="false">IF(B227=1,"Ask for an indicative amount; tell the client it may be added.","")</f>
        <v/>
      </c>
      <c r="I227" s="0" t="str">
        <f aca="false">IF(B227=1,"","")</f>
        <v/>
      </c>
      <c r="J227" s="0" t="str">
        <f aca="false">IF(B227=1,D227*1000+ROW(),"")</f>
        <v/>
      </c>
      <c r="K227" s="0" t="str">
        <f aca="false">IF(AND(B227=1,C227="Question"),ROW(),"")</f>
        <v/>
      </c>
    </row>
    <row r="228" customFormat="false" ht="15" hidden="false" customHeight="false" outlineLevel="0" collapsed="false">
      <c r="A228" s="0" t="s">
        <v>498</v>
      </c>
      <c r="B228" s="0" t="n">
        <f aca="false">IFERROR(IF(LEFT($Q$29,5)="Error",1,0),0)</f>
        <v>0</v>
      </c>
      <c r="C228" s="0" t="str">
        <f aca="false">"Error"</f>
        <v>Error</v>
      </c>
      <c r="D228" s="0" t="n">
        <f aca="false">IF(C228="Error",1,IF(C228="Question",2,3))</f>
        <v>1</v>
      </c>
      <c r="E228" s="0" t="str">
        <f aca="false">IF(B228=1,"Line 28: "&amp;$B$29,"")</f>
        <v/>
      </c>
      <c r="F228" s="0" t="str">
        <f aca="false">IF(B228=1,"Line amount does not reconcile","")</f>
        <v/>
      </c>
      <c r="G228" s="0" t="str">
        <f aca="false">IF(B228=1,"Forwarder shows "&amp;TEXT($P$29,"#,##0.00")&amp;" vs calculated "&amp;TEXT($L$29,"#,##0.00")&amp;IF($Y$29&gt;0," before tax / "&amp;TEXT($M$29,"#,##0.00")&amp;" incl. tax","")&amp;" "&amp;$I$29,"")</f>
        <v/>
      </c>
      <c r="H228" s="0" t="str">
        <f aca="false">IF(B228=1,"Ask the forwarder to correct the amount or explain the difference.","")</f>
        <v/>
      </c>
      <c r="I228" s="0" t="str">
        <f aca="false">IF(B228=1,IF(ISNUMBER($J$29),ROUND($R$29*$J$29,2),""),"")</f>
        <v/>
      </c>
      <c r="J228" s="0" t="str">
        <f aca="false">IF(B228=1,D228*1000+ROW(),"")</f>
        <v/>
      </c>
      <c r="K228" s="0" t="str">
        <f aca="false">IF(AND(B228=1,C228="Question"),ROW(),"")</f>
        <v/>
      </c>
    </row>
    <row r="229" customFormat="false" ht="15" hidden="false" customHeight="false" outlineLevel="0" collapsed="false">
      <c r="A229" s="0" t="s">
        <v>499</v>
      </c>
      <c r="B229" s="0" t="n">
        <f aca="false">IFERROR(IF($S$29&gt;0,1,0),0)</f>
        <v>0</v>
      </c>
      <c r="C229" s="0" t="str">
        <f aca="false">"Error"</f>
        <v>Error</v>
      </c>
      <c r="D229" s="0" t="n">
        <f aca="false">IF(C229="Error",1,IF(C229="Question",2,3))</f>
        <v>1</v>
      </c>
      <c r="E229" s="0" t="str">
        <f aca="false">IF(B229=1,"Line 28: "&amp;$B$29,"")</f>
        <v/>
      </c>
      <c r="F229" s="0" t="str">
        <f aca="false">IF(B229=1,"Rate above the agreed rate","")</f>
        <v/>
      </c>
      <c r="G229" s="0" t="str">
        <f aca="false">IF(B229=1,"Quoted "&amp;TEXT($H$29,"#,##0.00##")&amp;" vs agreed "&amp;TEXT(Audit!$M$81,"#,##0.00##")&amp;" "&amp;Audit!$D$81,"")</f>
        <v/>
      </c>
      <c r="H229" s="0" t="str">
        <f aca="false">IF(B229=1,"Ask the forwarder to apply the agreed rate.","")</f>
        <v/>
      </c>
      <c r="I229" s="0" t="str">
        <f aca="false">IF(B229=1,$S$29,"")</f>
        <v/>
      </c>
      <c r="J229" s="0" t="str">
        <f aca="false">IF(B229=1,D229*1000+ROW(),"")</f>
        <v/>
      </c>
      <c r="K229" s="0" t="str">
        <f aca="false">IF(AND(B229=1,C229="Question"),ROW(),"")</f>
        <v/>
      </c>
    </row>
    <row r="230" customFormat="false" ht="15" hidden="false" customHeight="false" outlineLevel="0" collapsed="false">
      <c r="A230" s="0" t="s">
        <v>500</v>
      </c>
      <c r="B230" s="0" t="n">
        <f aca="false">IFERROR(IF($X$29&lt;&gt;"",1,0),0)</f>
        <v>0</v>
      </c>
      <c r="C230" s="0" t="str">
        <f aca="false">"Question"</f>
        <v>Question</v>
      </c>
      <c r="D230" s="0" t="n">
        <f aca="false">IF(C230="Error",1,IF(C230="Question",2,3))</f>
        <v>2</v>
      </c>
      <c r="E230" s="0" t="str">
        <f aca="false">IF(B230=1,"Line 28: "&amp;$B$29,"")</f>
        <v/>
      </c>
      <c r="F230" s="0" t="str">
        <f aca="false">IF(B230=1,IF($X$29="flag",INDEX(Lists!$B$21:$B$25,MATCH($T$29,Lists!$A$21:$A$25,0)),IF($X$29="status","Status missing",IF($X$29="basis","Charging unit not stated",IF($X$29="rate","Rate missing",IF($X$29="base","Base amount not stated",IF($X$29="unclass","Charge not explained",IF($X$29="dup","Possible duplicate (same name, same service)","Charge not in the rate agreement"))))))),"")</f>
        <v/>
      </c>
      <c r="G230" s="0" t="str">
        <f aca="false">IF(B230=1,IF($X$29="flag",IF(Audit!$O$81&lt;&gt;"",Audit!$O$81,INDEX(Lists!$C$21:$C$25,MATCH($T$29,Lists!$A$21:$A$25,0))),IF($X$29="status","No status entered for this line.",IF($X$29="basis","The quotation does not say per what unit this is charged.",IF($X$29="rate","No rate entered for a firm or estimated charge.",IF($X$29="base","A percentage charge needs the amount it is calculated on.",IF($X$29="unclass","The charge does not fit a standard category or its purpose is unclear.",IF($X$29="dup","The same charge name appears more than once in the same service.","A rate agreement was provided but has no rate for this charge."))))))),"")</f>
        <v/>
      </c>
      <c r="H230" s="0" t="str">
        <f aca="false">IF(B230=1,IF($X$29="flag",INDEX(Lists!$E$21:$E$25,MATCH($T$29,Lists!$A$21:$A$25,0)),IF($X$29="status","Set the line status.",IF($X$29="basis","Ask the forwarder for the charging unit (per container, per B/L, per CBM...).",IF($X$29="rate","Enter the rate, or set the status to At cost / TBC.",IF($X$29="base","Ask the forwarder for the base amount (e.g. customs value).",IF($X$29="unclass","Ask the forwarder what this charge covers.",IF($X$29="dup","Ask whether both lines are needed; remove the duplicate.","Ask why the charge is not in the agreement; check the contract."))))))),"")</f>
        <v/>
      </c>
      <c r="I230" s="0" t="str">
        <f aca="false">IF(B230=1,IF(OR($X$29="dup",AND($X$29="flag",IFERROR(INDEX(Lists!$G$21:$G$25,MATCH($T$29,Lists!$A$21:$A$25,0)),0)=1)),IF(ISNUMBER($N$29),$N$29,""),""),"")</f>
        <v/>
      </c>
      <c r="J230" s="0" t="str">
        <f aca="false">IF(B230=1,D230*1000+ROW(),"")</f>
        <v/>
      </c>
      <c r="K230" s="0" t="str">
        <f aca="false">IF(AND(B230=1,C230="Question"),ROW(),"")</f>
        <v/>
      </c>
    </row>
    <row r="231" customFormat="false" ht="15" hidden="false" customHeight="false" outlineLevel="0" collapsed="false">
      <c r="A231" s="0" t="s">
        <v>501</v>
      </c>
      <c r="B231" s="0" t="n">
        <f aca="false">IFERROR(IF(AND($W$29=1,$D$29&lt;&gt;"Duties &amp; taxes"),1,0),0)</f>
        <v>0</v>
      </c>
      <c r="C231" s="0" t="str">
        <f aca="false">"Risk"</f>
        <v>Risk</v>
      </c>
      <c r="D231" s="0" t="n">
        <f aca="false">IF(C231="Error",1,IF(C231="Question",2,3))</f>
        <v>3</v>
      </c>
      <c r="E231" s="0" t="str">
        <f aca="false">IF(B231=1,"Line 28: "&amp;$B$29,"")</f>
        <v/>
      </c>
      <c r="F231" s="0" t="str">
        <f aca="false">IF(B231=1,IF($F$29="TBC","Amount to be confirmed","Charged at cost - amount not quoted"),"")</f>
        <v/>
      </c>
      <c r="G231" s="0" t="str">
        <f aca="false">IF(B231=1,"The final cost is unknown until invoiced.","")</f>
        <v/>
      </c>
      <c r="H231" s="0" t="str">
        <f aca="false">IF(B231=1,"Ask for an indicative amount; tell the client it may be added.","")</f>
        <v/>
      </c>
      <c r="I231" s="0" t="str">
        <f aca="false">IF(B231=1,"","")</f>
        <v/>
      </c>
      <c r="J231" s="0" t="str">
        <f aca="false">IF(B231=1,D231*1000+ROW(),"")</f>
        <v/>
      </c>
      <c r="K231" s="0" t="str">
        <f aca="false">IF(AND(B231=1,C231="Question"),ROW(),"")</f>
        <v/>
      </c>
    </row>
    <row r="232" customFormat="false" ht="15" hidden="false" customHeight="false" outlineLevel="0" collapsed="false">
      <c r="A232" s="0" t="s">
        <v>502</v>
      </c>
      <c r="B232" s="0" t="n">
        <f aca="false">IFERROR(IF(LEFT($Q$30,5)="Error",1,0),0)</f>
        <v>0</v>
      </c>
      <c r="C232" s="0" t="str">
        <f aca="false">"Error"</f>
        <v>Error</v>
      </c>
      <c r="D232" s="0" t="n">
        <f aca="false">IF(C232="Error",1,IF(C232="Question",2,3))</f>
        <v>1</v>
      </c>
      <c r="E232" s="0" t="str">
        <f aca="false">IF(B232=1,"Line 29: "&amp;$B$30,"")</f>
        <v/>
      </c>
      <c r="F232" s="0" t="str">
        <f aca="false">IF(B232=1,"Line amount does not reconcile","")</f>
        <v/>
      </c>
      <c r="G232" s="0" t="str">
        <f aca="false">IF(B232=1,"Forwarder shows "&amp;TEXT($P$30,"#,##0.00")&amp;" vs calculated "&amp;TEXT($L$30,"#,##0.00")&amp;IF($Y$30&gt;0," before tax / "&amp;TEXT($M$30,"#,##0.00")&amp;" incl. tax","")&amp;" "&amp;$I$30,"")</f>
        <v/>
      </c>
      <c r="H232" s="0" t="str">
        <f aca="false">IF(B232=1,"Ask the forwarder to correct the amount or explain the difference.","")</f>
        <v/>
      </c>
      <c r="I232" s="0" t="str">
        <f aca="false">IF(B232=1,IF(ISNUMBER($J$30),ROUND($R$30*$J$30,2),""),"")</f>
        <v/>
      </c>
      <c r="J232" s="0" t="str">
        <f aca="false">IF(B232=1,D232*1000+ROW(),"")</f>
        <v/>
      </c>
      <c r="K232" s="0" t="str">
        <f aca="false">IF(AND(B232=1,C232="Question"),ROW(),"")</f>
        <v/>
      </c>
    </row>
    <row r="233" customFormat="false" ht="15" hidden="false" customHeight="false" outlineLevel="0" collapsed="false">
      <c r="A233" s="0" t="s">
        <v>503</v>
      </c>
      <c r="B233" s="0" t="n">
        <f aca="false">IFERROR(IF($S$30&gt;0,1,0),0)</f>
        <v>0</v>
      </c>
      <c r="C233" s="0" t="str">
        <f aca="false">"Error"</f>
        <v>Error</v>
      </c>
      <c r="D233" s="0" t="n">
        <f aca="false">IF(C233="Error",1,IF(C233="Question",2,3))</f>
        <v>1</v>
      </c>
      <c r="E233" s="0" t="str">
        <f aca="false">IF(B233=1,"Line 29: "&amp;$B$30,"")</f>
        <v/>
      </c>
      <c r="F233" s="0" t="str">
        <f aca="false">IF(B233=1,"Rate above the agreed rate","")</f>
        <v/>
      </c>
      <c r="G233" s="0" t="str">
        <f aca="false">IF(B233=1,"Quoted "&amp;TEXT($H$30,"#,##0.00##")&amp;" vs agreed "&amp;TEXT(Audit!$M$82,"#,##0.00##")&amp;" "&amp;Audit!$D$82,"")</f>
        <v/>
      </c>
      <c r="H233" s="0" t="str">
        <f aca="false">IF(B233=1,"Ask the forwarder to apply the agreed rate.","")</f>
        <v/>
      </c>
      <c r="I233" s="0" t="str">
        <f aca="false">IF(B233=1,$S$30,"")</f>
        <v/>
      </c>
      <c r="J233" s="0" t="str">
        <f aca="false">IF(B233=1,D233*1000+ROW(),"")</f>
        <v/>
      </c>
      <c r="K233" s="0" t="str">
        <f aca="false">IF(AND(B233=1,C233="Question"),ROW(),"")</f>
        <v/>
      </c>
    </row>
    <row r="234" customFormat="false" ht="15" hidden="false" customHeight="false" outlineLevel="0" collapsed="false">
      <c r="A234" s="0" t="s">
        <v>504</v>
      </c>
      <c r="B234" s="0" t="n">
        <f aca="false">IFERROR(IF($X$30&lt;&gt;"",1,0),0)</f>
        <v>0</v>
      </c>
      <c r="C234" s="0" t="str">
        <f aca="false">"Question"</f>
        <v>Question</v>
      </c>
      <c r="D234" s="0" t="n">
        <f aca="false">IF(C234="Error",1,IF(C234="Question",2,3))</f>
        <v>2</v>
      </c>
      <c r="E234" s="0" t="str">
        <f aca="false">IF(B234=1,"Line 29: "&amp;$B$30,"")</f>
        <v/>
      </c>
      <c r="F234" s="0" t="str">
        <f aca="false">IF(B234=1,IF($X$30="flag",INDEX(Lists!$B$21:$B$25,MATCH($T$30,Lists!$A$21:$A$25,0)),IF($X$30="status","Status missing",IF($X$30="basis","Charging unit not stated",IF($X$30="rate","Rate missing",IF($X$30="base","Base amount not stated",IF($X$30="unclass","Charge not explained",IF($X$30="dup","Possible duplicate (same name, same service)","Charge not in the rate agreement"))))))),"")</f>
        <v/>
      </c>
      <c r="G234" s="0" t="str">
        <f aca="false">IF(B234=1,IF($X$30="flag",IF(Audit!$O$82&lt;&gt;"",Audit!$O$82,INDEX(Lists!$C$21:$C$25,MATCH($T$30,Lists!$A$21:$A$25,0))),IF($X$30="status","No status entered for this line.",IF($X$30="basis","The quotation does not say per what unit this is charged.",IF($X$30="rate","No rate entered for a firm or estimated charge.",IF($X$30="base","A percentage charge needs the amount it is calculated on.",IF($X$30="unclass","The charge does not fit a standard category or its purpose is unclear.",IF($X$30="dup","The same charge name appears more than once in the same service.","A rate agreement was provided but has no rate for this charge."))))))),"")</f>
        <v/>
      </c>
      <c r="H234" s="0" t="str">
        <f aca="false">IF(B234=1,IF($X$30="flag",INDEX(Lists!$E$21:$E$25,MATCH($T$30,Lists!$A$21:$A$25,0)),IF($X$30="status","Set the line status.",IF($X$30="basis","Ask the forwarder for the charging unit (per container, per B/L, per CBM...).",IF($X$30="rate","Enter the rate, or set the status to At cost / TBC.",IF($X$30="base","Ask the forwarder for the base amount (e.g. customs value).",IF($X$30="unclass","Ask the forwarder what this charge covers.",IF($X$30="dup","Ask whether both lines are needed; remove the duplicate.","Ask why the charge is not in the agreement; check the contract."))))))),"")</f>
        <v/>
      </c>
      <c r="I234" s="0" t="str">
        <f aca="false">IF(B234=1,IF(OR($X$30="dup",AND($X$30="flag",IFERROR(INDEX(Lists!$G$21:$G$25,MATCH($T$30,Lists!$A$21:$A$25,0)),0)=1)),IF(ISNUMBER($N$30),$N$30,""),""),"")</f>
        <v/>
      </c>
      <c r="J234" s="0" t="str">
        <f aca="false">IF(B234=1,D234*1000+ROW(),"")</f>
        <v/>
      </c>
      <c r="K234" s="0" t="str">
        <f aca="false">IF(AND(B234=1,C234="Question"),ROW(),"")</f>
        <v/>
      </c>
    </row>
    <row r="235" customFormat="false" ht="15" hidden="false" customHeight="false" outlineLevel="0" collapsed="false">
      <c r="A235" s="0" t="s">
        <v>505</v>
      </c>
      <c r="B235" s="0" t="n">
        <f aca="false">IFERROR(IF(AND($W$30=1,$D$30&lt;&gt;"Duties &amp; taxes"),1,0),0)</f>
        <v>0</v>
      </c>
      <c r="C235" s="0" t="str">
        <f aca="false">"Risk"</f>
        <v>Risk</v>
      </c>
      <c r="D235" s="0" t="n">
        <f aca="false">IF(C235="Error",1,IF(C235="Question",2,3))</f>
        <v>3</v>
      </c>
      <c r="E235" s="0" t="str">
        <f aca="false">IF(B235=1,"Line 29: "&amp;$B$30,"")</f>
        <v/>
      </c>
      <c r="F235" s="0" t="str">
        <f aca="false">IF(B235=1,IF($F$30="TBC","Amount to be confirmed","Charged at cost - amount not quoted"),"")</f>
        <v/>
      </c>
      <c r="G235" s="0" t="str">
        <f aca="false">IF(B235=1,"The final cost is unknown until invoiced.","")</f>
        <v/>
      </c>
      <c r="H235" s="0" t="str">
        <f aca="false">IF(B235=1,"Ask for an indicative amount; tell the client it may be added.","")</f>
        <v/>
      </c>
      <c r="I235" s="0" t="str">
        <f aca="false">IF(B235=1,"","")</f>
        <v/>
      </c>
      <c r="J235" s="0" t="str">
        <f aca="false">IF(B235=1,D235*1000+ROW(),"")</f>
        <v/>
      </c>
      <c r="K235" s="0" t="str">
        <f aca="false">IF(AND(B235=1,C235="Question"),ROW(),"")</f>
        <v/>
      </c>
    </row>
    <row r="236" customFormat="false" ht="15" hidden="false" customHeight="false" outlineLevel="0" collapsed="false">
      <c r="A236" s="0" t="s">
        <v>506</v>
      </c>
      <c r="B236" s="0" t="n">
        <f aca="false">IFERROR(IF(LEFT($Q$31,5)="Error",1,0),0)</f>
        <v>0</v>
      </c>
      <c r="C236" s="0" t="str">
        <f aca="false">"Error"</f>
        <v>Error</v>
      </c>
      <c r="D236" s="0" t="n">
        <f aca="false">IF(C236="Error",1,IF(C236="Question",2,3))</f>
        <v>1</v>
      </c>
      <c r="E236" s="0" t="str">
        <f aca="false">IF(B236=1,"Line 30: "&amp;$B$31,"")</f>
        <v/>
      </c>
      <c r="F236" s="0" t="str">
        <f aca="false">IF(B236=1,"Line amount does not reconcile","")</f>
        <v/>
      </c>
      <c r="G236" s="0" t="str">
        <f aca="false">IF(B236=1,"Forwarder shows "&amp;TEXT($P$31,"#,##0.00")&amp;" vs calculated "&amp;TEXT($L$31,"#,##0.00")&amp;IF($Y$31&gt;0," before tax / "&amp;TEXT($M$31,"#,##0.00")&amp;" incl. tax","")&amp;" "&amp;$I$31,"")</f>
        <v/>
      </c>
      <c r="H236" s="0" t="str">
        <f aca="false">IF(B236=1,"Ask the forwarder to correct the amount or explain the difference.","")</f>
        <v/>
      </c>
      <c r="I236" s="0" t="str">
        <f aca="false">IF(B236=1,IF(ISNUMBER($J$31),ROUND($R$31*$J$31,2),""),"")</f>
        <v/>
      </c>
      <c r="J236" s="0" t="str">
        <f aca="false">IF(B236=1,D236*1000+ROW(),"")</f>
        <v/>
      </c>
      <c r="K236" s="0" t="str">
        <f aca="false">IF(AND(B236=1,C236="Question"),ROW(),"")</f>
        <v/>
      </c>
    </row>
    <row r="237" customFormat="false" ht="15" hidden="false" customHeight="false" outlineLevel="0" collapsed="false">
      <c r="A237" s="0" t="s">
        <v>507</v>
      </c>
      <c r="B237" s="0" t="n">
        <f aca="false">IFERROR(IF($S$31&gt;0,1,0),0)</f>
        <v>0</v>
      </c>
      <c r="C237" s="0" t="str">
        <f aca="false">"Error"</f>
        <v>Error</v>
      </c>
      <c r="D237" s="0" t="n">
        <f aca="false">IF(C237="Error",1,IF(C237="Question",2,3))</f>
        <v>1</v>
      </c>
      <c r="E237" s="0" t="str">
        <f aca="false">IF(B237=1,"Line 30: "&amp;$B$31,"")</f>
        <v/>
      </c>
      <c r="F237" s="0" t="str">
        <f aca="false">IF(B237=1,"Rate above the agreed rate","")</f>
        <v/>
      </c>
      <c r="G237" s="0" t="str">
        <f aca="false">IF(B237=1,"Quoted "&amp;TEXT($H$31,"#,##0.00##")&amp;" vs agreed "&amp;TEXT(Audit!$M$83,"#,##0.00##")&amp;" "&amp;Audit!$D$83,"")</f>
        <v/>
      </c>
      <c r="H237" s="0" t="str">
        <f aca="false">IF(B237=1,"Ask the forwarder to apply the agreed rate.","")</f>
        <v/>
      </c>
      <c r="I237" s="0" t="str">
        <f aca="false">IF(B237=1,$S$31,"")</f>
        <v/>
      </c>
      <c r="J237" s="0" t="str">
        <f aca="false">IF(B237=1,D237*1000+ROW(),"")</f>
        <v/>
      </c>
      <c r="K237" s="0" t="str">
        <f aca="false">IF(AND(B237=1,C237="Question"),ROW(),"")</f>
        <v/>
      </c>
    </row>
    <row r="238" customFormat="false" ht="15" hidden="false" customHeight="false" outlineLevel="0" collapsed="false">
      <c r="A238" s="0" t="s">
        <v>508</v>
      </c>
      <c r="B238" s="0" t="n">
        <f aca="false">IFERROR(IF($X$31&lt;&gt;"",1,0),0)</f>
        <v>0</v>
      </c>
      <c r="C238" s="0" t="str">
        <f aca="false">"Question"</f>
        <v>Question</v>
      </c>
      <c r="D238" s="0" t="n">
        <f aca="false">IF(C238="Error",1,IF(C238="Question",2,3))</f>
        <v>2</v>
      </c>
      <c r="E238" s="0" t="str">
        <f aca="false">IF(B238=1,"Line 30: "&amp;$B$31,"")</f>
        <v/>
      </c>
      <c r="F238" s="0" t="str">
        <f aca="false">IF(B238=1,IF($X$31="flag",INDEX(Lists!$B$21:$B$25,MATCH($T$31,Lists!$A$21:$A$25,0)),IF($X$31="status","Status missing",IF($X$31="basis","Charging unit not stated",IF($X$31="rate","Rate missing",IF($X$31="base","Base amount not stated",IF($X$31="unclass","Charge not explained",IF($X$31="dup","Possible duplicate (same name, same service)","Charge not in the rate agreement"))))))),"")</f>
        <v/>
      </c>
      <c r="G238" s="0" t="str">
        <f aca="false">IF(B238=1,IF($X$31="flag",IF(Audit!$O$83&lt;&gt;"",Audit!$O$83,INDEX(Lists!$C$21:$C$25,MATCH($T$31,Lists!$A$21:$A$25,0))),IF($X$31="status","No status entered for this line.",IF($X$31="basis","The quotation does not say per what unit this is charged.",IF($X$31="rate","No rate entered for a firm or estimated charge.",IF($X$31="base","A percentage charge needs the amount it is calculated on.",IF($X$31="unclass","The charge does not fit a standard category or its purpose is unclear.",IF($X$31="dup","The same charge name appears more than once in the same service.","A rate agreement was provided but has no rate for this charge."))))))),"")</f>
        <v/>
      </c>
      <c r="H238" s="0" t="str">
        <f aca="false">IF(B238=1,IF($X$31="flag",INDEX(Lists!$E$21:$E$25,MATCH($T$31,Lists!$A$21:$A$25,0)),IF($X$31="status","Set the line status.",IF($X$31="basis","Ask the forwarder for the charging unit (per container, per B/L, per CBM...).",IF($X$31="rate","Enter the rate, or set the status to At cost / TBC.",IF($X$31="base","Ask the forwarder for the base amount (e.g. customs value).",IF($X$31="unclass","Ask the forwarder what this charge covers.",IF($X$31="dup","Ask whether both lines are needed; remove the duplicate.","Ask why the charge is not in the agreement; check the contract."))))))),"")</f>
        <v/>
      </c>
      <c r="I238" s="0" t="str">
        <f aca="false">IF(B238=1,IF(OR($X$31="dup",AND($X$31="flag",IFERROR(INDEX(Lists!$G$21:$G$25,MATCH($T$31,Lists!$A$21:$A$25,0)),0)=1)),IF(ISNUMBER($N$31),$N$31,""),""),"")</f>
        <v/>
      </c>
      <c r="J238" s="0" t="str">
        <f aca="false">IF(B238=1,D238*1000+ROW(),"")</f>
        <v/>
      </c>
      <c r="K238" s="0" t="str">
        <f aca="false">IF(AND(B238=1,C238="Question"),ROW(),"")</f>
        <v/>
      </c>
    </row>
    <row r="239" customFormat="false" ht="15" hidden="false" customHeight="false" outlineLevel="0" collapsed="false">
      <c r="A239" s="0" t="s">
        <v>509</v>
      </c>
      <c r="B239" s="0" t="n">
        <f aca="false">IFERROR(IF(AND($W$31=1,$D$31&lt;&gt;"Duties &amp; taxes"),1,0),0)</f>
        <v>0</v>
      </c>
      <c r="C239" s="0" t="str">
        <f aca="false">"Risk"</f>
        <v>Risk</v>
      </c>
      <c r="D239" s="0" t="n">
        <f aca="false">IF(C239="Error",1,IF(C239="Question",2,3))</f>
        <v>3</v>
      </c>
      <c r="E239" s="0" t="str">
        <f aca="false">IF(B239=1,"Line 30: "&amp;$B$31,"")</f>
        <v/>
      </c>
      <c r="F239" s="0" t="str">
        <f aca="false">IF(B239=1,IF($F$31="TBC","Amount to be confirmed","Charged at cost - amount not quoted"),"")</f>
        <v/>
      </c>
      <c r="G239" s="0" t="str">
        <f aca="false">IF(B239=1,"The final cost is unknown until invoiced.","")</f>
        <v/>
      </c>
      <c r="H239" s="0" t="str">
        <f aca="false">IF(B239=1,"Ask for an indicative amount; tell the client it may be added.","")</f>
        <v/>
      </c>
      <c r="I239" s="0" t="str">
        <f aca="false">IF(B239=1,"","")</f>
        <v/>
      </c>
      <c r="J239" s="0" t="str">
        <f aca="false">IF(B239=1,D239*1000+ROW(),"")</f>
        <v/>
      </c>
      <c r="K239" s="0" t="str">
        <f aca="false">IF(AND(B239=1,C239="Question"),ROW(),"")</f>
        <v/>
      </c>
    </row>
    <row r="240" customFormat="false" ht="15" hidden="false" customHeight="false" outlineLevel="0" collapsed="false">
      <c r="A240" s="0" t="s">
        <v>510</v>
      </c>
      <c r="B240" s="0" t="n">
        <f aca="false">IFERROR(IF(LEFT($Q$32,5)="Error",1,0),0)</f>
        <v>0</v>
      </c>
      <c r="C240" s="0" t="str">
        <f aca="false">"Error"</f>
        <v>Error</v>
      </c>
      <c r="D240" s="0" t="n">
        <f aca="false">IF(C240="Error",1,IF(C240="Question",2,3))</f>
        <v>1</v>
      </c>
      <c r="E240" s="0" t="str">
        <f aca="false">IF(B240=1,"Line 31: "&amp;$B$32,"")</f>
        <v/>
      </c>
      <c r="F240" s="0" t="str">
        <f aca="false">IF(B240=1,"Line amount does not reconcile","")</f>
        <v/>
      </c>
      <c r="G240" s="0" t="str">
        <f aca="false">IF(B240=1,"Forwarder shows "&amp;TEXT($P$32,"#,##0.00")&amp;" vs calculated "&amp;TEXT($L$32,"#,##0.00")&amp;IF($Y$32&gt;0," before tax / "&amp;TEXT($M$32,"#,##0.00")&amp;" incl. tax","")&amp;" "&amp;$I$32,"")</f>
        <v/>
      </c>
      <c r="H240" s="0" t="str">
        <f aca="false">IF(B240=1,"Ask the forwarder to correct the amount or explain the difference.","")</f>
        <v/>
      </c>
      <c r="I240" s="0" t="str">
        <f aca="false">IF(B240=1,IF(ISNUMBER($J$32),ROUND($R$32*$J$32,2),""),"")</f>
        <v/>
      </c>
      <c r="J240" s="0" t="str">
        <f aca="false">IF(B240=1,D240*1000+ROW(),"")</f>
        <v/>
      </c>
      <c r="K240" s="0" t="str">
        <f aca="false">IF(AND(B240=1,C240="Question"),ROW(),"")</f>
        <v/>
      </c>
    </row>
    <row r="241" customFormat="false" ht="15" hidden="false" customHeight="false" outlineLevel="0" collapsed="false">
      <c r="A241" s="0" t="s">
        <v>511</v>
      </c>
      <c r="B241" s="0" t="n">
        <f aca="false">IFERROR(IF($S$32&gt;0,1,0),0)</f>
        <v>0</v>
      </c>
      <c r="C241" s="0" t="str">
        <f aca="false">"Error"</f>
        <v>Error</v>
      </c>
      <c r="D241" s="0" t="n">
        <f aca="false">IF(C241="Error",1,IF(C241="Question",2,3))</f>
        <v>1</v>
      </c>
      <c r="E241" s="0" t="str">
        <f aca="false">IF(B241=1,"Line 31: "&amp;$B$32,"")</f>
        <v/>
      </c>
      <c r="F241" s="0" t="str">
        <f aca="false">IF(B241=1,"Rate above the agreed rate","")</f>
        <v/>
      </c>
      <c r="G241" s="0" t="str">
        <f aca="false">IF(B241=1,"Quoted "&amp;TEXT($H$32,"#,##0.00##")&amp;" vs agreed "&amp;TEXT(Audit!$M$84,"#,##0.00##")&amp;" "&amp;Audit!$D$84,"")</f>
        <v/>
      </c>
      <c r="H241" s="0" t="str">
        <f aca="false">IF(B241=1,"Ask the forwarder to apply the agreed rate.","")</f>
        <v/>
      </c>
      <c r="I241" s="0" t="str">
        <f aca="false">IF(B241=1,$S$32,"")</f>
        <v/>
      </c>
      <c r="J241" s="0" t="str">
        <f aca="false">IF(B241=1,D241*1000+ROW(),"")</f>
        <v/>
      </c>
      <c r="K241" s="0" t="str">
        <f aca="false">IF(AND(B241=1,C241="Question"),ROW(),"")</f>
        <v/>
      </c>
    </row>
    <row r="242" customFormat="false" ht="15" hidden="false" customHeight="false" outlineLevel="0" collapsed="false">
      <c r="A242" s="0" t="s">
        <v>512</v>
      </c>
      <c r="B242" s="0" t="n">
        <f aca="false">IFERROR(IF($X$32&lt;&gt;"",1,0),0)</f>
        <v>0</v>
      </c>
      <c r="C242" s="0" t="str">
        <f aca="false">"Question"</f>
        <v>Question</v>
      </c>
      <c r="D242" s="0" t="n">
        <f aca="false">IF(C242="Error",1,IF(C242="Question",2,3))</f>
        <v>2</v>
      </c>
      <c r="E242" s="0" t="str">
        <f aca="false">IF(B242=1,"Line 31: "&amp;$B$32,"")</f>
        <v/>
      </c>
      <c r="F242" s="0" t="str">
        <f aca="false">IF(B242=1,IF($X$32="flag",INDEX(Lists!$B$21:$B$25,MATCH($T$32,Lists!$A$21:$A$25,0)),IF($X$32="status","Status missing",IF($X$32="basis","Charging unit not stated",IF($X$32="rate","Rate missing",IF($X$32="base","Base amount not stated",IF($X$32="unclass","Charge not explained",IF($X$32="dup","Possible duplicate (same name, same service)","Charge not in the rate agreement"))))))),"")</f>
        <v/>
      </c>
      <c r="G242" s="0" t="str">
        <f aca="false">IF(B242=1,IF($X$32="flag",IF(Audit!$O$84&lt;&gt;"",Audit!$O$84,INDEX(Lists!$C$21:$C$25,MATCH($T$32,Lists!$A$21:$A$25,0))),IF($X$32="status","No status entered for this line.",IF($X$32="basis","The quotation does not say per what unit this is charged.",IF($X$32="rate","No rate entered for a firm or estimated charge.",IF($X$32="base","A percentage charge needs the amount it is calculated on.",IF($X$32="unclass","The charge does not fit a standard category or its purpose is unclear.",IF($X$32="dup","The same charge name appears more than once in the same service.","A rate agreement was provided but has no rate for this charge."))))))),"")</f>
        <v/>
      </c>
      <c r="H242" s="0" t="str">
        <f aca="false">IF(B242=1,IF($X$32="flag",INDEX(Lists!$E$21:$E$25,MATCH($T$32,Lists!$A$21:$A$25,0)),IF($X$32="status","Set the line status.",IF($X$32="basis","Ask the forwarder for the charging unit (per container, per B/L, per CBM...).",IF($X$32="rate","Enter the rate, or set the status to At cost / TBC.",IF($X$32="base","Ask the forwarder for the base amount (e.g. customs value).",IF($X$32="unclass","Ask the forwarder what this charge covers.",IF($X$32="dup","Ask whether both lines are needed; remove the duplicate.","Ask why the charge is not in the agreement; check the contract."))))))),"")</f>
        <v/>
      </c>
      <c r="I242" s="0" t="str">
        <f aca="false">IF(B242=1,IF(OR($X$32="dup",AND($X$32="flag",IFERROR(INDEX(Lists!$G$21:$G$25,MATCH($T$32,Lists!$A$21:$A$25,0)),0)=1)),IF(ISNUMBER($N$32),$N$32,""),""),"")</f>
        <v/>
      </c>
      <c r="J242" s="0" t="str">
        <f aca="false">IF(B242=1,D242*1000+ROW(),"")</f>
        <v/>
      </c>
      <c r="K242" s="0" t="str">
        <f aca="false">IF(AND(B242=1,C242="Question"),ROW(),"")</f>
        <v/>
      </c>
    </row>
    <row r="243" customFormat="false" ht="15" hidden="false" customHeight="false" outlineLevel="0" collapsed="false">
      <c r="A243" s="0" t="s">
        <v>513</v>
      </c>
      <c r="B243" s="0" t="n">
        <f aca="false">IFERROR(IF(AND($W$32=1,$D$32&lt;&gt;"Duties &amp; taxes"),1,0),0)</f>
        <v>0</v>
      </c>
      <c r="C243" s="0" t="str">
        <f aca="false">"Risk"</f>
        <v>Risk</v>
      </c>
      <c r="D243" s="0" t="n">
        <f aca="false">IF(C243="Error",1,IF(C243="Question",2,3))</f>
        <v>3</v>
      </c>
      <c r="E243" s="0" t="str">
        <f aca="false">IF(B243=1,"Line 31: "&amp;$B$32,"")</f>
        <v/>
      </c>
      <c r="F243" s="0" t="str">
        <f aca="false">IF(B243=1,IF($F$32="TBC","Amount to be confirmed","Charged at cost - amount not quoted"),"")</f>
        <v/>
      </c>
      <c r="G243" s="0" t="str">
        <f aca="false">IF(B243=1,"The final cost is unknown until invoiced.","")</f>
        <v/>
      </c>
      <c r="H243" s="0" t="str">
        <f aca="false">IF(B243=1,"Ask for an indicative amount; tell the client it may be added.","")</f>
        <v/>
      </c>
      <c r="I243" s="0" t="str">
        <f aca="false">IF(B243=1,"","")</f>
        <v/>
      </c>
      <c r="J243" s="0" t="str">
        <f aca="false">IF(B243=1,D243*1000+ROW(),"")</f>
        <v/>
      </c>
      <c r="K243" s="0" t="str">
        <f aca="false">IF(AND(B243=1,C243="Question"),ROW(),"")</f>
        <v/>
      </c>
    </row>
    <row r="244" customFormat="false" ht="15" hidden="false" customHeight="false" outlineLevel="0" collapsed="false">
      <c r="A244" s="0" t="s">
        <v>514</v>
      </c>
      <c r="B244" s="0" t="n">
        <f aca="false">IFERROR(IF(LEFT($Q$33,5)="Error",1,0),0)</f>
        <v>0</v>
      </c>
      <c r="C244" s="0" t="str">
        <f aca="false">"Error"</f>
        <v>Error</v>
      </c>
      <c r="D244" s="0" t="n">
        <f aca="false">IF(C244="Error",1,IF(C244="Question",2,3))</f>
        <v>1</v>
      </c>
      <c r="E244" s="0" t="str">
        <f aca="false">IF(B244=1,"Line 32: "&amp;$B$33,"")</f>
        <v/>
      </c>
      <c r="F244" s="0" t="str">
        <f aca="false">IF(B244=1,"Line amount does not reconcile","")</f>
        <v/>
      </c>
      <c r="G244" s="0" t="str">
        <f aca="false">IF(B244=1,"Forwarder shows "&amp;TEXT($P$33,"#,##0.00")&amp;" vs calculated "&amp;TEXT($L$33,"#,##0.00")&amp;IF($Y$33&gt;0," before tax / "&amp;TEXT($M$33,"#,##0.00")&amp;" incl. tax","")&amp;" "&amp;$I$33,"")</f>
        <v/>
      </c>
      <c r="H244" s="0" t="str">
        <f aca="false">IF(B244=1,"Ask the forwarder to correct the amount or explain the difference.","")</f>
        <v/>
      </c>
      <c r="I244" s="0" t="str">
        <f aca="false">IF(B244=1,IF(ISNUMBER($J$33),ROUND($R$33*$J$33,2),""),"")</f>
        <v/>
      </c>
      <c r="J244" s="0" t="str">
        <f aca="false">IF(B244=1,D244*1000+ROW(),"")</f>
        <v/>
      </c>
      <c r="K244" s="0" t="str">
        <f aca="false">IF(AND(B244=1,C244="Question"),ROW(),"")</f>
        <v/>
      </c>
    </row>
    <row r="245" customFormat="false" ht="15" hidden="false" customHeight="false" outlineLevel="0" collapsed="false">
      <c r="A245" s="0" t="s">
        <v>515</v>
      </c>
      <c r="B245" s="0" t="n">
        <f aca="false">IFERROR(IF($S$33&gt;0,1,0),0)</f>
        <v>0</v>
      </c>
      <c r="C245" s="0" t="str">
        <f aca="false">"Error"</f>
        <v>Error</v>
      </c>
      <c r="D245" s="0" t="n">
        <f aca="false">IF(C245="Error",1,IF(C245="Question",2,3))</f>
        <v>1</v>
      </c>
      <c r="E245" s="0" t="str">
        <f aca="false">IF(B245=1,"Line 32: "&amp;$B$33,"")</f>
        <v/>
      </c>
      <c r="F245" s="0" t="str">
        <f aca="false">IF(B245=1,"Rate above the agreed rate","")</f>
        <v/>
      </c>
      <c r="G245" s="0" t="str">
        <f aca="false">IF(B245=1,"Quoted "&amp;TEXT($H$33,"#,##0.00##")&amp;" vs agreed "&amp;TEXT(Audit!$M$85,"#,##0.00##")&amp;" "&amp;Audit!$D$85,"")</f>
        <v/>
      </c>
      <c r="H245" s="0" t="str">
        <f aca="false">IF(B245=1,"Ask the forwarder to apply the agreed rate.","")</f>
        <v/>
      </c>
      <c r="I245" s="0" t="str">
        <f aca="false">IF(B245=1,$S$33,"")</f>
        <v/>
      </c>
      <c r="J245" s="0" t="str">
        <f aca="false">IF(B245=1,D245*1000+ROW(),"")</f>
        <v/>
      </c>
      <c r="K245" s="0" t="str">
        <f aca="false">IF(AND(B245=1,C245="Question"),ROW(),"")</f>
        <v/>
      </c>
    </row>
    <row r="246" customFormat="false" ht="15" hidden="false" customHeight="false" outlineLevel="0" collapsed="false">
      <c r="A246" s="0" t="s">
        <v>516</v>
      </c>
      <c r="B246" s="0" t="n">
        <f aca="false">IFERROR(IF($X$33&lt;&gt;"",1,0),0)</f>
        <v>0</v>
      </c>
      <c r="C246" s="0" t="str">
        <f aca="false">"Question"</f>
        <v>Question</v>
      </c>
      <c r="D246" s="0" t="n">
        <f aca="false">IF(C246="Error",1,IF(C246="Question",2,3))</f>
        <v>2</v>
      </c>
      <c r="E246" s="0" t="str">
        <f aca="false">IF(B246=1,"Line 32: "&amp;$B$33,"")</f>
        <v/>
      </c>
      <c r="F246" s="0" t="str">
        <f aca="false">IF(B246=1,IF($X$33="flag",INDEX(Lists!$B$21:$B$25,MATCH($T$33,Lists!$A$21:$A$25,0)),IF($X$33="status","Status missing",IF($X$33="basis","Charging unit not stated",IF($X$33="rate","Rate missing",IF($X$33="base","Base amount not stated",IF($X$33="unclass","Charge not explained",IF($X$33="dup","Possible duplicate (same name, same service)","Charge not in the rate agreement"))))))),"")</f>
        <v/>
      </c>
      <c r="G246" s="0" t="str">
        <f aca="false">IF(B246=1,IF($X$33="flag",IF(Audit!$O$85&lt;&gt;"",Audit!$O$85,INDEX(Lists!$C$21:$C$25,MATCH($T$33,Lists!$A$21:$A$25,0))),IF($X$33="status","No status entered for this line.",IF($X$33="basis","The quotation does not say per what unit this is charged.",IF($X$33="rate","No rate entered for a firm or estimated charge.",IF($X$33="base","A percentage charge needs the amount it is calculated on.",IF($X$33="unclass","The charge does not fit a standard category or its purpose is unclear.",IF($X$33="dup","The same charge name appears more than once in the same service.","A rate agreement was provided but has no rate for this charge."))))))),"")</f>
        <v/>
      </c>
      <c r="H246" s="0" t="str">
        <f aca="false">IF(B246=1,IF($X$33="flag",INDEX(Lists!$E$21:$E$25,MATCH($T$33,Lists!$A$21:$A$25,0)),IF($X$33="status","Set the line status.",IF($X$33="basis","Ask the forwarder for the charging unit (per container, per B/L, per CBM...).",IF($X$33="rate","Enter the rate, or set the status to At cost / TBC.",IF($X$33="base","Ask the forwarder for the base amount (e.g. customs value).",IF($X$33="unclass","Ask the forwarder what this charge covers.",IF($X$33="dup","Ask whether both lines are needed; remove the duplicate.","Ask why the charge is not in the agreement; check the contract."))))))),"")</f>
        <v/>
      </c>
      <c r="I246" s="0" t="str">
        <f aca="false">IF(B246=1,IF(OR($X$33="dup",AND($X$33="flag",IFERROR(INDEX(Lists!$G$21:$G$25,MATCH($T$33,Lists!$A$21:$A$25,0)),0)=1)),IF(ISNUMBER($N$33),$N$33,""),""),"")</f>
        <v/>
      </c>
      <c r="J246" s="0" t="str">
        <f aca="false">IF(B246=1,D246*1000+ROW(),"")</f>
        <v/>
      </c>
      <c r="K246" s="0" t="str">
        <f aca="false">IF(AND(B246=1,C246="Question"),ROW(),"")</f>
        <v/>
      </c>
    </row>
    <row r="247" customFormat="false" ht="15" hidden="false" customHeight="false" outlineLevel="0" collapsed="false">
      <c r="A247" s="0" t="s">
        <v>517</v>
      </c>
      <c r="B247" s="0" t="n">
        <f aca="false">IFERROR(IF(AND($W$33=1,$D$33&lt;&gt;"Duties &amp; taxes"),1,0),0)</f>
        <v>0</v>
      </c>
      <c r="C247" s="0" t="str">
        <f aca="false">"Risk"</f>
        <v>Risk</v>
      </c>
      <c r="D247" s="0" t="n">
        <f aca="false">IF(C247="Error",1,IF(C247="Question",2,3))</f>
        <v>3</v>
      </c>
      <c r="E247" s="0" t="str">
        <f aca="false">IF(B247=1,"Line 32: "&amp;$B$33,"")</f>
        <v/>
      </c>
      <c r="F247" s="0" t="str">
        <f aca="false">IF(B247=1,IF($F$33="TBC","Amount to be confirmed","Charged at cost - amount not quoted"),"")</f>
        <v/>
      </c>
      <c r="G247" s="0" t="str">
        <f aca="false">IF(B247=1,"The final cost is unknown until invoiced.","")</f>
        <v/>
      </c>
      <c r="H247" s="0" t="str">
        <f aca="false">IF(B247=1,"Ask for an indicative amount; tell the client it may be added.","")</f>
        <v/>
      </c>
      <c r="I247" s="0" t="str">
        <f aca="false">IF(B247=1,"","")</f>
        <v/>
      </c>
      <c r="J247" s="0" t="str">
        <f aca="false">IF(B247=1,D247*1000+ROW(),"")</f>
        <v/>
      </c>
      <c r="K247" s="0" t="str">
        <f aca="false">IF(AND(B247=1,C247="Question"),ROW(),"")</f>
        <v/>
      </c>
    </row>
    <row r="248" customFormat="false" ht="15" hidden="false" customHeight="false" outlineLevel="0" collapsed="false">
      <c r="A248" s="0" t="s">
        <v>518</v>
      </c>
      <c r="B248" s="0" t="n">
        <f aca="false">IFERROR(IF(LEFT($Q$34,5)="Error",1,0),0)</f>
        <v>0</v>
      </c>
      <c r="C248" s="0" t="str">
        <f aca="false">"Error"</f>
        <v>Error</v>
      </c>
      <c r="D248" s="0" t="n">
        <f aca="false">IF(C248="Error",1,IF(C248="Question",2,3))</f>
        <v>1</v>
      </c>
      <c r="E248" s="0" t="str">
        <f aca="false">IF(B248=1,"Line 33: "&amp;$B$34,"")</f>
        <v/>
      </c>
      <c r="F248" s="0" t="str">
        <f aca="false">IF(B248=1,"Line amount does not reconcile","")</f>
        <v/>
      </c>
      <c r="G248" s="0" t="str">
        <f aca="false">IF(B248=1,"Forwarder shows "&amp;TEXT($P$34,"#,##0.00")&amp;" vs calculated "&amp;TEXT($L$34,"#,##0.00")&amp;IF($Y$34&gt;0," before tax / "&amp;TEXT($M$34,"#,##0.00")&amp;" incl. tax","")&amp;" "&amp;$I$34,"")</f>
        <v/>
      </c>
      <c r="H248" s="0" t="str">
        <f aca="false">IF(B248=1,"Ask the forwarder to correct the amount or explain the difference.","")</f>
        <v/>
      </c>
      <c r="I248" s="0" t="str">
        <f aca="false">IF(B248=1,IF(ISNUMBER($J$34),ROUND($R$34*$J$34,2),""),"")</f>
        <v/>
      </c>
      <c r="J248" s="0" t="str">
        <f aca="false">IF(B248=1,D248*1000+ROW(),"")</f>
        <v/>
      </c>
      <c r="K248" s="0" t="str">
        <f aca="false">IF(AND(B248=1,C248="Question"),ROW(),"")</f>
        <v/>
      </c>
    </row>
    <row r="249" customFormat="false" ht="15" hidden="false" customHeight="false" outlineLevel="0" collapsed="false">
      <c r="A249" s="0" t="s">
        <v>519</v>
      </c>
      <c r="B249" s="0" t="n">
        <f aca="false">IFERROR(IF($S$34&gt;0,1,0),0)</f>
        <v>0</v>
      </c>
      <c r="C249" s="0" t="str">
        <f aca="false">"Error"</f>
        <v>Error</v>
      </c>
      <c r="D249" s="0" t="n">
        <f aca="false">IF(C249="Error",1,IF(C249="Question",2,3))</f>
        <v>1</v>
      </c>
      <c r="E249" s="0" t="str">
        <f aca="false">IF(B249=1,"Line 33: "&amp;$B$34,"")</f>
        <v/>
      </c>
      <c r="F249" s="0" t="str">
        <f aca="false">IF(B249=1,"Rate above the agreed rate","")</f>
        <v/>
      </c>
      <c r="G249" s="0" t="str">
        <f aca="false">IF(B249=1,"Quoted "&amp;TEXT($H$34,"#,##0.00##")&amp;" vs agreed "&amp;TEXT(Audit!$M$86,"#,##0.00##")&amp;" "&amp;Audit!$D$86,"")</f>
        <v/>
      </c>
      <c r="H249" s="0" t="str">
        <f aca="false">IF(B249=1,"Ask the forwarder to apply the agreed rate.","")</f>
        <v/>
      </c>
      <c r="I249" s="0" t="str">
        <f aca="false">IF(B249=1,$S$34,"")</f>
        <v/>
      </c>
      <c r="J249" s="0" t="str">
        <f aca="false">IF(B249=1,D249*1000+ROW(),"")</f>
        <v/>
      </c>
      <c r="K249" s="0" t="str">
        <f aca="false">IF(AND(B249=1,C249="Question"),ROW(),"")</f>
        <v/>
      </c>
    </row>
    <row r="250" customFormat="false" ht="15" hidden="false" customHeight="false" outlineLevel="0" collapsed="false">
      <c r="A250" s="0" t="s">
        <v>520</v>
      </c>
      <c r="B250" s="0" t="n">
        <f aca="false">IFERROR(IF($X$34&lt;&gt;"",1,0),0)</f>
        <v>0</v>
      </c>
      <c r="C250" s="0" t="str">
        <f aca="false">"Question"</f>
        <v>Question</v>
      </c>
      <c r="D250" s="0" t="n">
        <f aca="false">IF(C250="Error",1,IF(C250="Question",2,3))</f>
        <v>2</v>
      </c>
      <c r="E250" s="0" t="str">
        <f aca="false">IF(B250=1,"Line 33: "&amp;$B$34,"")</f>
        <v/>
      </c>
      <c r="F250" s="0" t="str">
        <f aca="false">IF(B250=1,IF($X$34="flag",INDEX(Lists!$B$21:$B$25,MATCH($T$34,Lists!$A$21:$A$25,0)),IF($X$34="status","Status missing",IF($X$34="basis","Charging unit not stated",IF($X$34="rate","Rate missing",IF($X$34="base","Base amount not stated",IF($X$34="unclass","Charge not explained",IF($X$34="dup","Possible duplicate (same name, same service)","Charge not in the rate agreement"))))))),"")</f>
        <v/>
      </c>
      <c r="G250" s="0" t="str">
        <f aca="false">IF(B250=1,IF($X$34="flag",IF(Audit!$O$86&lt;&gt;"",Audit!$O$86,INDEX(Lists!$C$21:$C$25,MATCH($T$34,Lists!$A$21:$A$25,0))),IF($X$34="status","No status entered for this line.",IF($X$34="basis","The quotation does not say per what unit this is charged.",IF($X$34="rate","No rate entered for a firm or estimated charge.",IF($X$34="base","A percentage charge needs the amount it is calculated on.",IF($X$34="unclass","The charge does not fit a standard category or its purpose is unclear.",IF($X$34="dup","The same charge name appears more than once in the same service.","A rate agreement was provided but has no rate for this charge."))))))),"")</f>
        <v/>
      </c>
      <c r="H250" s="0" t="str">
        <f aca="false">IF(B250=1,IF($X$34="flag",INDEX(Lists!$E$21:$E$25,MATCH($T$34,Lists!$A$21:$A$25,0)),IF($X$34="status","Set the line status.",IF($X$34="basis","Ask the forwarder for the charging unit (per container, per B/L, per CBM...).",IF($X$34="rate","Enter the rate, or set the status to At cost / TBC.",IF($X$34="base","Ask the forwarder for the base amount (e.g. customs value).",IF($X$34="unclass","Ask the forwarder what this charge covers.",IF($X$34="dup","Ask whether both lines are needed; remove the duplicate.","Ask why the charge is not in the agreement; check the contract."))))))),"")</f>
        <v/>
      </c>
      <c r="I250" s="0" t="str">
        <f aca="false">IF(B250=1,IF(OR($X$34="dup",AND($X$34="flag",IFERROR(INDEX(Lists!$G$21:$G$25,MATCH($T$34,Lists!$A$21:$A$25,0)),0)=1)),IF(ISNUMBER($N$34),$N$34,""),""),"")</f>
        <v/>
      </c>
      <c r="J250" s="0" t="str">
        <f aca="false">IF(B250=1,D250*1000+ROW(),"")</f>
        <v/>
      </c>
      <c r="K250" s="0" t="str">
        <f aca="false">IF(AND(B250=1,C250="Question"),ROW(),"")</f>
        <v/>
      </c>
    </row>
    <row r="251" customFormat="false" ht="15" hidden="false" customHeight="false" outlineLevel="0" collapsed="false">
      <c r="A251" s="0" t="s">
        <v>521</v>
      </c>
      <c r="B251" s="0" t="n">
        <f aca="false">IFERROR(IF(AND($W$34=1,$D$34&lt;&gt;"Duties &amp; taxes"),1,0),0)</f>
        <v>0</v>
      </c>
      <c r="C251" s="0" t="str">
        <f aca="false">"Risk"</f>
        <v>Risk</v>
      </c>
      <c r="D251" s="0" t="n">
        <f aca="false">IF(C251="Error",1,IF(C251="Question",2,3))</f>
        <v>3</v>
      </c>
      <c r="E251" s="0" t="str">
        <f aca="false">IF(B251=1,"Line 33: "&amp;$B$34,"")</f>
        <v/>
      </c>
      <c r="F251" s="0" t="str">
        <f aca="false">IF(B251=1,IF($F$34="TBC","Amount to be confirmed","Charged at cost - amount not quoted"),"")</f>
        <v/>
      </c>
      <c r="G251" s="0" t="str">
        <f aca="false">IF(B251=1,"The final cost is unknown until invoiced.","")</f>
        <v/>
      </c>
      <c r="H251" s="0" t="str">
        <f aca="false">IF(B251=1,"Ask for an indicative amount; tell the client it may be added.","")</f>
        <v/>
      </c>
      <c r="I251" s="0" t="str">
        <f aca="false">IF(B251=1,"","")</f>
        <v/>
      </c>
      <c r="J251" s="0" t="str">
        <f aca="false">IF(B251=1,D251*1000+ROW(),"")</f>
        <v/>
      </c>
      <c r="K251" s="0" t="str">
        <f aca="false">IF(AND(B251=1,C251="Question"),ROW(),"")</f>
        <v/>
      </c>
    </row>
    <row r="252" customFormat="false" ht="15" hidden="false" customHeight="false" outlineLevel="0" collapsed="false">
      <c r="A252" s="0" t="s">
        <v>522</v>
      </c>
      <c r="B252" s="0" t="n">
        <f aca="false">IFERROR(IF(LEFT($Q$35,5)="Error",1,0),0)</f>
        <v>0</v>
      </c>
      <c r="C252" s="0" t="str">
        <f aca="false">"Error"</f>
        <v>Error</v>
      </c>
      <c r="D252" s="0" t="n">
        <f aca="false">IF(C252="Error",1,IF(C252="Question",2,3))</f>
        <v>1</v>
      </c>
      <c r="E252" s="0" t="str">
        <f aca="false">IF(B252=1,"Line 34: "&amp;$B$35,"")</f>
        <v/>
      </c>
      <c r="F252" s="0" t="str">
        <f aca="false">IF(B252=1,"Line amount does not reconcile","")</f>
        <v/>
      </c>
      <c r="G252" s="0" t="str">
        <f aca="false">IF(B252=1,"Forwarder shows "&amp;TEXT($P$35,"#,##0.00")&amp;" vs calculated "&amp;TEXT($L$35,"#,##0.00")&amp;IF($Y$35&gt;0," before tax / "&amp;TEXT($M$35,"#,##0.00")&amp;" incl. tax","")&amp;" "&amp;$I$35,"")</f>
        <v/>
      </c>
      <c r="H252" s="0" t="str">
        <f aca="false">IF(B252=1,"Ask the forwarder to correct the amount or explain the difference.","")</f>
        <v/>
      </c>
      <c r="I252" s="0" t="str">
        <f aca="false">IF(B252=1,IF(ISNUMBER($J$35),ROUND($R$35*$J$35,2),""),"")</f>
        <v/>
      </c>
      <c r="J252" s="0" t="str">
        <f aca="false">IF(B252=1,D252*1000+ROW(),"")</f>
        <v/>
      </c>
      <c r="K252" s="0" t="str">
        <f aca="false">IF(AND(B252=1,C252="Question"),ROW(),"")</f>
        <v/>
      </c>
    </row>
    <row r="253" customFormat="false" ht="15" hidden="false" customHeight="false" outlineLevel="0" collapsed="false">
      <c r="A253" s="0" t="s">
        <v>523</v>
      </c>
      <c r="B253" s="0" t="n">
        <f aca="false">IFERROR(IF($S$35&gt;0,1,0),0)</f>
        <v>0</v>
      </c>
      <c r="C253" s="0" t="str">
        <f aca="false">"Error"</f>
        <v>Error</v>
      </c>
      <c r="D253" s="0" t="n">
        <f aca="false">IF(C253="Error",1,IF(C253="Question",2,3))</f>
        <v>1</v>
      </c>
      <c r="E253" s="0" t="str">
        <f aca="false">IF(B253=1,"Line 34: "&amp;$B$35,"")</f>
        <v/>
      </c>
      <c r="F253" s="0" t="str">
        <f aca="false">IF(B253=1,"Rate above the agreed rate","")</f>
        <v/>
      </c>
      <c r="G253" s="0" t="str">
        <f aca="false">IF(B253=1,"Quoted "&amp;TEXT($H$35,"#,##0.00##")&amp;" vs agreed "&amp;TEXT(Audit!$M$87,"#,##0.00##")&amp;" "&amp;Audit!$D$87,"")</f>
        <v/>
      </c>
      <c r="H253" s="0" t="str">
        <f aca="false">IF(B253=1,"Ask the forwarder to apply the agreed rate.","")</f>
        <v/>
      </c>
      <c r="I253" s="0" t="str">
        <f aca="false">IF(B253=1,$S$35,"")</f>
        <v/>
      </c>
      <c r="J253" s="0" t="str">
        <f aca="false">IF(B253=1,D253*1000+ROW(),"")</f>
        <v/>
      </c>
      <c r="K253" s="0" t="str">
        <f aca="false">IF(AND(B253=1,C253="Question"),ROW(),"")</f>
        <v/>
      </c>
    </row>
    <row r="254" customFormat="false" ht="15" hidden="false" customHeight="false" outlineLevel="0" collapsed="false">
      <c r="A254" s="0" t="s">
        <v>524</v>
      </c>
      <c r="B254" s="0" t="n">
        <f aca="false">IFERROR(IF($X$35&lt;&gt;"",1,0),0)</f>
        <v>0</v>
      </c>
      <c r="C254" s="0" t="str">
        <f aca="false">"Question"</f>
        <v>Question</v>
      </c>
      <c r="D254" s="0" t="n">
        <f aca="false">IF(C254="Error",1,IF(C254="Question",2,3))</f>
        <v>2</v>
      </c>
      <c r="E254" s="0" t="str">
        <f aca="false">IF(B254=1,"Line 34: "&amp;$B$35,"")</f>
        <v/>
      </c>
      <c r="F254" s="0" t="str">
        <f aca="false">IF(B254=1,IF($X$35="flag",INDEX(Lists!$B$21:$B$25,MATCH($T$35,Lists!$A$21:$A$25,0)),IF($X$35="status","Status missing",IF($X$35="basis","Charging unit not stated",IF($X$35="rate","Rate missing",IF($X$35="base","Base amount not stated",IF($X$35="unclass","Charge not explained",IF($X$35="dup","Possible duplicate (same name, same service)","Charge not in the rate agreement"))))))),"")</f>
        <v/>
      </c>
      <c r="G254" s="0" t="str">
        <f aca="false">IF(B254=1,IF($X$35="flag",IF(Audit!$O$87&lt;&gt;"",Audit!$O$87,INDEX(Lists!$C$21:$C$25,MATCH($T$35,Lists!$A$21:$A$25,0))),IF($X$35="status","No status entered for this line.",IF($X$35="basis","The quotation does not say per what unit this is charged.",IF($X$35="rate","No rate entered for a firm or estimated charge.",IF($X$35="base","A percentage charge needs the amount it is calculated on.",IF($X$35="unclass","The charge does not fit a standard category or its purpose is unclear.",IF($X$35="dup","The same charge name appears more than once in the same service.","A rate agreement was provided but has no rate for this charge."))))))),"")</f>
        <v/>
      </c>
      <c r="H254" s="0" t="str">
        <f aca="false">IF(B254=1,IF($X$35="flag",INDEX(Lists!$E$21:$E$25,MATCH($T$35,Lists!$A$21:$A$25,0)),IF($X$35="status","Set the line status.",IF($X$35="basis","Ask the forwarder for the charging unit (per container, per B/L, per CBM...).",IF($X$35="rate","Enter the rate, or set the status to At cost / TBC.",IF($X$35="base","Ask the forwarder for the base amount (e.g. customs value).",IF($X$35="unclass","Ask the forwarder what this charge covers.",IF($X$35="dup","Ask whether both lines are needed; remove the duplicate.","Ask why the charge is not in the agreement; check the contract."))))))),"")</f>
        <v/>
      </c>
      <c r="I254" s="0" t="str">
        <f aca="false">IF(B254=1,IF(OR($X$35="dup",AND($X$35="flag",IFERROR(INDEX(Lists!$G$21:$G$25,MATCH($T$35,Lists!$A$21:$A$25,0)),0)=1)),IF(ISNUMBER($N$35),$N$35,""),""),"")</f>
        <v/>
      </c>
      <c r="J254" s="0" t="str">
        <f aca="false">IF(B254=1,D254*1000+ROW(),"")</f>
        <v/>
      </c>
      <c r="K254" s="0" t="str">
        <f aca="false">IF(AND(B254=1,C254="Question"),ROW(),"")</f>
        <v/>
      </c>
    </row>
    <row r="255" customFormat="false" ht="15" hidden="false" customHeight="false" outlineLevel="0" collapsed="false">
      <c r="A255" s="0" t="s">
        <v>525</v>
      </c>
      <c r="B255" s="0" t="n">
        <f aca="false">IFERROR(IF(AND($W$35=1,$D$35&lt;&gt;"Duties &amp; taxes"),1,0),0)</f>
        <v>0</v>
      </c>
      <c r="C255" s="0" t="str">
        <f aca="false">"Risk"</f>
        <v>Risk</v>
      </c>
      <c r="D255" s="0" t="n">
        <f aca="false">IF(C255="Error",1,IF(C255="Question",2,3))</f>
        <v>3</v>
      </c>
      <c r="E255" s="0" t="str">
        <f aca="false">IF(B255=1,"Line 34: "&amp;$B$35,"")</f>
        <v/>
      </c>
      <c r="F255" s="0" t="str">
        <f aca="false">IF(B255=1,IF($F$35="TBC","Amount to be confirmed","Charged at cost - amount not quoted"),"")</f>
        <v/>
      </c>
      <c r="G255" s="0" t="str">
        <f aca="false">IF(B255=1,"The final cost is unknown until invoiced.","")</f>
        <v/>
      </c>
      <c r="H255" s="0" t="str">
        <f aca="false">IF(B255=1,"Ask for an indicative amount; tell the client it may be added.","")</f>
        <v/>
      </c>
      <c r="I255" s="0" t="str">
        <f aca="false">IF(B255=1,"","")</f>
        <v/>
      </c>
      <c r="J255" s="0" t="str">
        <f aca="false">IF(B255=1,D255*1000+ROW(),"")</f>
        <v/>
      </c>
      <c r="K255" s="0" t="str">
        <f aca="false">IF(AND(B255=1,C255="Question"),ROW(),"")</f>
        <v/>
      </c>
    </row>
    <row r="256" customFormat="false" ht="15" hidden="false" customHeight="false" outlineLevel="0" collapsed="false">
      <c r="A256" s="0" t="s">
        <v>526</v>
      </c>
      <c r="B256" s="0" t="n">
        <f aca="false">IFERROR(IF(LEFT($Q$36,5)="Error",1,0),0)</f>
        <v>0</v>
      </c>
      <c r="C256" s="0" t="str">
        <f aca="false">"Error"</f>
        <v>Error</v>
      </c>
      <c r="D256" s="0" t="n">
        <f aca="false">IF(C256="Error",1,IF(C256="Question",2,3))</f>
        <v>1</v>
      </c>
      <c r="E256" s="0" t="str">
        <f aca="false">IF(B256=1,"Line 35: "&amp;$B$36,"")</f>
        <v/>
      </c>
      <c r="F256" s="0" t="str">
        <f aca="false">IF(B256=1,"Line amount does not reconcile","")</f>
        <v/>
      </c>
      <c r="G256" s="0" t="str">
        <f aca="false">IF(B256=1,"Forwarder shows "&amp;TEXT($P$36,"#,##0.00")&amp;" vs calculated "&amp;TEXT($L$36,"#,##0.00")&amp;IF($Y$36&gt;0," before tax / "&amp;TEXT($M$36,"#,##0.00")&amp;" incl. tax","")&amp;" "&amp;$I$36,"")</f>
        <v/>
      </c>
      <c r="H256" s="0" t="str">
        <f aca="false">IF(B256=1,"Ask the forwarder to correct the amount or explain the difference.","")</f>
        <v/>
      </c>
      <c r="I256" s="0" t="str">
        <f aca="false">IF(B256=1,IF(ISNUMBER($J$36),ROUND($R$36*$J$36,2),""),"")</f>
        <v/>
      </c>
      <c r="J256" s="0" t="str">
        <f aca="false">IF(B256=1,D256*1000+ROW(),"")</f>
        <v/>
      </c>
      <c r="K256" s="0" t="str">
        <f aca="false">IF(AND(B256=1,C256="Question"),ROW(),"")</f>
        <v/>
      </c>
    </row>
    <row r="257" customFormat="false" ht="15" hidden="false" customHeight="false" outlineLevel="0" collapsed="false">
      <c r="A257" s="0" t="s">
        <v>527</v>
      </c>
      <c r="B257" s="0" t="n">
        <f aca="false">IFERROR(IF($S$36&gt;0,1,0),0)</f>
        <v>0</v>
      </c>
      <c r="C257" s="0" t="str">
        <f aca="false">"Error"</f>
        <v>Error</v>
      </c>
      <c r="D257" s="0" t="n">
        <f aca="false">IF(C257="Error",1,IF(C257="Question",2,3))</f>
        <v>1</v>
      </c>
      <c r="E257" s="0" t="str">
        <f aca="false">IF(B257=1,"Line 35: "&amp;$B$36,"")</f>
        <v/>
      </c>
      <c r="F257" s="0" t="str">
        <f aca="false">IF(B257=1,"Rate above the agreed rate","")</f>
        <v/>
      </c>
      <c r="G257" s="0" t="str">
        <f aca="false">IF(B257=1,"Quoted "&amp;TEXT($H$36,"#,##0.00##")&amp;" vs agreed "&amp;TEXT(Audit!$M$88,"#,##0.00##")&amp;" "&amp;Audit!$D$88,"")</f>
        <v/>
      </c>
      <c r="H257" s="0" t="str">
        <f aca="false">IF(B257=1,"Ask the forwarder to apply the agreed rate.","")</f>
        <v/>
      </c>
      <c r="I257" s="0" t="str">
        <f aca="false">IF(B257=1,$S$36,"")</f>
        <v/>
      </c>
      <c r="J257" s="0" t="str">
        <f aca="false">IF(B257=1,D257*1000+ROW(),"")</f>
        <v/>
      </c>
      <c r="K257" s="0" t="str">
        <f aca="false">IF(AND(B257=1,C257="Question"),ROW(),"")</f>
        <v/>
      </c>
    </row>
    <row r="258" customFormat="false" ht="15" hidden="false" customHeight="false" outlineLevel="0" collapsed="false">
      <c r="A258" s="0" t="s">
        <v>528</v>
      </c>
      <c r="B258" s="0" t="n">
        <f aca="false">IFERROR(IF($X$36&lt;&gt;"",1,0),0)</f>
        <v>0</v>
      </c>
      <c r="C258" s="0" t="str">
        <f aca="false">"Question"</f>
        <v>Question</v>
      </c>
      <c r="D258" s="0" t="n">
        <f aca="false">IF(C258="Error",1,IF(C258="Question",2,3))</f>
        <v>2</v>
      </c>
      <c r="E258" s="0" t="str">
        <f aca="false">IF(B258=1,"Line 35: "&amp;$B$36,"")</f>
        <v/>
      </c>
      <c r="F258" s="0" t="str">
        <f aca="false">IF(B258=1,IF($X$36="flag",INDEX(Lists!$B$21:$B$25,MATCH($T$36,Lists!$A$21:$A$25,0)),IF($X$36="status","Status missing",IF($X$36="basis","Charging unit not stated",IF($X$36="rate","Rate missing",IF($X$36="base","Base amount not stated",IF($X$36="unclass","Charge not explained",IF($X$36="dup","Possible duplicate (same name, same service)","Charge not in the rate agreement"))))))),"")</f>
        <v/>
      </c>
      <c r="G258" s="0" t="str">
        <f aca="false">IF(B258=1,IF($X$36="flag",IF(Audit!$O$88&lt;&gt;"",Audit!$O$88,INDEX(Lists!$C$21:$C$25,MATCH($T$36,Lists!$A$21:$A$25,0))),IF($X$36="status","No status entered for this line.",IF($X$36="basis","The quotation does not say per what unit this is charged.",IF($X$36="rate","No rate entered for a firm or estimated charge.",IF($X$36="base","A percentage charge needs the amount it is calculated on.",IF($X$36="unclass","The charge does not fit a standard category or its purpose is unclear.",IF($X$36="dup","The same charge name appears more than once in the same service.","A rate agreement was provided but has no rate for this charge."))))))),"")</f>
        <v/>
      </c>
      <c r="H258" s="0" t="str">
        <f aca="false">IF(B258=1,IF($X$36="flag",INDEX(Lists!$E$21:$E$25,MATCH($T$36,Lists!$A$21:$A$25,0)),IF($X$36="status","Set the line status.",IF($X$36="basis","Ask the forwarder for the charging unit (per container, per B/L, per CBM...).",IF($X$36="rate","Enter the rate, or set the status to At cost / TBC.",IF($X$36="base","Ask the forwarder for the base amount (e.g. customs value).",IF($X$36="unclass","Ask the forwarder what this charge covers.",IF($X$36="dup","Ask whether both lines are needed; remove the duplicate.","Ask why the charge is not in the agreement; check the contract."))))))),"")</f>
        <v/>
      </c>
      <c r="I258" s="0" t="str">
        <f aca="false">IF(B258=1,IF(OR($X$36="dup",AND($X$36="flag",IFERROR(INDEX(Lists!$G$21:$G$25,MATCH($T$36,Lists!$A$21:$A$25,0)),0)=1)),IF(ISNUMBER($N$36),$N$36,""),""),"")</f>
        <v/>
      </c>
      <c r="J258" s="0" t="str">
        <f aca="false">IF(B258=1,D258*1000+ROW(),"")</f>
        <v/>
      </c>
      <c r="K258" s="0" t="str">
        <f aca="false">IF(AND(B258=1,C258="Question"),ROW(),"")</f>
        <v/>
      </c>
    </row>
    <row r="259" customFormat="false" ht="15" hidden="false" customHeight="false" outlineLevel="0" collapsed="false">
      <c r="A259" s="0" t="s">
        <v>529</v>
      </c>
      <c r="B259" s="0" t="n">
        <f aca="false">IFERROR(IF(AND($W$36=1,$D$36&lt;&gt;"Duties &amp; taxes"),1,0),0)</f>
        <v>0</v>
      </c>
      <c r="C259" s="0" t="str">
        <f aca="false">"Risk"</f>
        <v>Risk</v>
      </c>
      <c r="D259" s="0" t="n">
        <f aca="false">IF(C259="Error",1,IF(C259="Question",2,3))</f>
        <v>3</v>
      </c>
      <c r="E259" s="0" t="str">
        <f aca="false">IF(B259=1,"Line 35: "&amp;$B$36,"")</f>
        <v/>
      </c>
      <c r="F259" s="0" t="str">
        <f aca="false">IF(B259=1,IF($F$36="TBC","Amount to be confirmed","Charged at cost - amount not quoted"),"")</f>
        <v/>
      </c>
      <c r="G259" s="0" t="str">
        <f aca="false">IF(B259=1,"The final cost is unknown until invoiced.","")</f>
        <v/>
      </c>
      <c r="H259" s="0" t="str">
        <f aca="false">IF(B259=1,"Ask for an indicative amount; tell the client it may be added.","")</f>
        <v/>
      </c>
      <c r="I259" s="0" t="str">
        <f aca="false">IF(B259=1,"","")</f>
        <v/>
      </c>
      <c r="J259" s="0" t="str">
        <f aca="false">IF(B259=1,D259*1000+ROW(),"")</f>
        <v/>
      </c>
      <c r="K259" s="0" t="str">
        <f aca="false">IF(AND(B259=1,C259="Question"),ROW(),"")</f>
        <v/>
      </c>
    </row>
    <row r="260" customFormat="false" ht="15" hidden="false" customHeight="false" outlineLevel="0" collapsed="false">
      <c r="A260" s="0" t="s">
        <v>530</v>
      </c>
      <c r="B260" s="0" t="n">
        <f aca="false">IFERROR(IF(LEFT($Q$37,5)="Error",1,0),0)</f>
        <v>0</v>
      </c>
      <c r="C260" s="0" t="str">
        <f aca="false">"Error"</f>
        <v>Error</v>
      </c>
      <c r="D260" s="0" t="n">
        <f aca="false">IF(C260="Error",1,IF(C260="Question",2,3))</f>
        <v>1</v>
      </c>
      <c r="E260" s="0" t="str">
        <f aca="false">IF(B260=1,"Line 36: "&amp;$B$37,"")</f>
        <v/>
      </c>
      <c r="F260" s="0" t="str">
        <f aca="false">IF(B260=1,"Line amount does not reconcile","")</f>
        <v/>
      </c>
      <c r="G260" s="0" t="str">
        <f aca="false">IF(B260=1,"Forwarder shows "&amp;TEXT($P$37,"#,##0.00")&amp;" vs calculated "&amp;TEXT($L$37,"#,##0.00")&amp;IF($Y$37&gt;0," before tax / "&amp;TEXT($M$37,"#,##0.00")&amp;" incl. tax","")&amp;" "&amp;$I$37,"")</f>
        <v/>
      </c>
      <c r="H260" s="0" t="str">
        <f aca="false">IF(B260=1,"Ask the forwarder to correct the amount or explain the difference.","")</f>
        <v/>
      </c>
      <c r="I260" s="0" t="str">
        <f aca="false">IF(B260=1,IF(ISNUMBER($J$37),ROUND($R$37*$J$37,2),""),"")</f>
        <v/>
      </c>
      <c r="J260" s="0" t="str">
        <f aca="false">IF(B260=1,D260*1000+ROW(),"")</f>
        <v/>
      </c>
      <c r="K260" s="0" t="str">
        <f aca="false">IF(AND(B260=1,C260="Question"),ROW(),"")</f>
        <v/>
      </c>
    </row>
    <row r="261" customFormat="false" ht="15" hidden="false" customHeight="false" outlineLevel="0" collapsed="false">
      <c r="A261" s="0" t="s">
        <v>531</v>
      </c>
      <c r="B261" s="0" t="n">
        <f aca="false">IFERROR(IF($S$37&gt;0,1,0),0)</f>
        <v>0</v>
      </c>
      <c r="C261" s="0" t="str">
        <f aca="false">"Error"</f>
        <v>Error</v>
      </c>
      <c r="D261" s="0" t="n">
        <f aca="false">IF(C261="Error",1,IF(C261="Question",2,3))</f>
        <v>1</v>
      </c>
      <c r="E261" s="0" t="str">
        <f aca="false">IF(B261=1,"Line 36: "&amp;$B$37,"")</f>
        <v/>
      </c>
      <c r="F261" s="0" t="str">
        <f aca="false">IF(B261=1,"Rate above the agreed rate","")</f>
        <v/>
      </c>
      <c r="G261" s="0" t="str">
        <f aca="false">IF(B261=1,"Quoted "&amp;TEXT($H$37,"#,##0.00##")&amp;" vs agreed "&amp;TEXT(Audit!$M$89,"#,##0.00##")&amp;" "&amp;Audit!$D$89,"")</f>
        <v/>
      </c>
      <c r="H261" s="0" t="str">
        <f aca="false">IF(B261=1,"Ask the forwarder to apply the agreed rate.","")</f>
        <v/>
      </c>
      <c r="I261" s="0" t="str">
        <f aca="false">IF(B261=1,$S$37,"")</f>
        <v/>
      </c>
      <c r="J261" s="0" t="str">
        <f aca="false">IF(B261=1,D261*1000+ROW(),"")</f>
        <v/>
      </c>
      <c r="K261" s="0" t="str">
        <f aca="false">IF(AND(B261=1,C261="Question"),ROW(),"")</f>
        <v/>
      </c>
    </row>
    <row r="262" customFormat="false" ht="15" hidden="false" customHeight="false" outlineLevel="0" collapsed="false">
      <c r="A262" s="0" t="s">
        <v>532</v>
      </c>
      <c r="B262" s="0" t="n">
        <f aca="false">IFERROR(IF($X$37&lt;&gt;"",1,0),0)</f>
        <v>0</v>
      </c>
      <c r="C262" s="0" t="str">
        <f aca="false">"Question"</f>
        <v>Question</v>
      </c>
      <c r="D262" s="0" t="n">
        <f aca="false">IF(C262="Error",1,IF(C262="Question",2,3))</f>
        <v>2</v>
      </c>
      <c r="E262" s="0" t="str">
        <f aca="false">IF(B262=1,"Line 36: "&amp;$B$37,"")</f>
        <v/>
      </c>
      <c r="F262" s="0" t="str">
        <f aca="false">IF(B262=1,IF($X$37="flag",INDEX(Lists!$B$21:$B$25,MATCH($T$37,Lists!$A$21:$A$25,0)),IF($X$37="status","Status missing",IF($X$37="basis","Charging unit not stated",IF($X$37="rate","Rate missing",IF($X$37="base","Base amount not stated",IF($X$37="unclass","Charge not explained",IF($X$37="dup","Possible duplicate (same name, same service)","Charge not in the rate agreement"))))))),"")</f>
        <v/>
      </c>
      <c r="G262" s="0" t="str">
        <f aca="false">IF(B262=1,IF($X$37="flag",IF(Audit!$O$89&lt;&gt;"",Audit!$O$89,INDEX(Lists!$C$21:$C$25,MATCH($T$37,Lists!$A$21:$A$25,0))),IF($X$37="status","No status entered for this line.",IF($X$37="basis","The quotation does not say per what unit this is charged.",IF($X$37="rate","No rate entered for a firm or estimated charge.",IF($X$37="base","A percentage charge needs the amount it is calculated on.",IF($X$37="unclass","The charge does not fit a standard category or its purpose is unclear.",IF($X$37="dup","The same charge name appears more than once in the same service.","A rate agreement was provided but has no rate for this charge."))))))),"")</f>
        <v/>
      </c>
      <c r="H262" s="0" t="str">
        <f aca="false">IF(B262=1,IF($X$37="flag",INDEX(Lists!$E$21:$E$25,MATCH($T$37,Lists!$A$21:$A$25,0)),IF($X$37="status","Set the line status.",IF($X$37="basis","Ask the forwarder for the charging unit (per container, per B/L, per CBM...).",IF($X$37="rate","Enter the rate, or set the status to At cost / TBC.",IF($X$37="base","Ask the forwarder for the base amount (e.g. customs value).",IF($X$37="unclass","Ask the forwarder what this charge covers.",IF($X$37="dup","Ask whether both lines are needed; remove the duplicate.","Ask why the charge is not in the agreement; check the contract."))))))),"")</f>
        <v/>
      </c>
      <c r="I262" s="0" t="str">
        <f aca="false">IF(B262=1,IF(OR($X$37="dup",AND($X$37="flag",IFERROR(INDEX(Lists!$G$21:$G$25,MATCH($T$37,Lists!$A$21:$A$25,0)),0)=1)),IF(ISNUMBER($N$37),$N$37,""),""),"")</f>
        <v/>
      </c>
      <c r="J262" s="0" t="str">
        <f aca="false">IF(B262=1,D262*1000+ROW(),"")</f>
        <v/>
      </c>
      <c r="K262" s="0" t="str">
        <f aca="false">IF(AND(B262=1,C262="Question"),ROW(),"")</f>
        <v/>
      </c>
    </row>
    <row r="263" customFormat="false" ht="15" hidden="false" customHeight="false" outlineLevel="0" collapsed="false">
      <c r="A263" s="0" t="s">
        <v>533</v>
      </c>
      <c r="B263" s="0" t="n">
        <f aca="false">IFERROR(IF(AND($W$37=1,$D$37&lt;&gt;"Duties &amp; taxes"),1,0),0)</f>
        <v>0</v>
      </c>
      <c r="C263" s="0" t="str">
        <f aca="false">"Risk"</f>
        <v>Risk</v>
      </c>
      <c r="D263" s="0" t="n">
        <f aca="false">IF(C263="Error",1,IF(C263="Question",2,3))</f>
        <v>3</v>
      </c>
      <c r="E263" s="0" t="str">
        <f aca="false">IF(B263=1,"Line 36: "&amp;$B$37,"")</f>
        <v/>
      </c>
      <c r="F263" s="0" t="str">
        <f aca="false">IF(B263=1,IF($F$37="TBC","Amount to be confirmed","Charged at cost - amount not quoted"),"")</f>
        <v/>
      </c>
      <c r="G263" s="0" t="str">
        <f aca="false">IF(B263=1,"The final cost is unknown until invoiced.","")</f>
        <v/>
      </c>
      <c r="H263" s="0" t="str">
        <f aca="false">IF(B263=1,"Ask for an indicative amount; tell the client it may be added.","")</f>
        <v/>
      </c>
      <c r="I263" s="0" t="str">
        <f aca="false">IF(B263=1,"","")</f>
        <v/>
      </c>
      <c r="J263" s="0" t="str">
        <f aca="false">IF(B263=1,D263*1000+ROW(),"")</f>
        <v/>
      </c>
      <c r="K263" s="0" t="str">
        <f aca="false">IF(AND(B263=1,C263="Question"),ROW(),"")</f>
        <v/>
      </c>
    </row>
    <row r="264" customFormat="false" ht="15" hidden="false" customHeight="false" outlineLevel="0" collapsed="false">
      <c r="A264" s="0" t="s">
        <v>534</v>
      </c>
      <c r="B264" s="0" t="n">
        <f aca="false">IFERROR(IF(LEFT($Q$38,5)="Error",1,0),0)</f>
        <v>0</v>
      </c>
      <c r="C264" s="0" t="str">
        <f aca="false">"Error"</f>
        <v>Error</v>
      </c>
      <c r="D264" s="0" t="n">
        <f aca="false">IF(C264="Error",1,IF(C264="Question",2,3))</f>
        <v>1</v>
      </c>
      <c r="E264" s="0" t="str">
        <f aca="false">IF(B264=1,"Line 37: "&amp;$B$38,"")</f>
        <v/>
      </c>
      <c r="F264" s="0" t="str">
        <f aca="false">IF(B264=1,"Line amount does not reconcile","")</f>
        <v/>
      </c>
      <c r="G264" s="0" t="str">
        <f aca="false">IF(B264=1,"Forwarder shows "&amp;TEXT($P$38,"#,##0.00")&amp;" vs calculated "&amp;TEXT($L$38,"#,##0.00")&amp;IF($Y$38&gt;0," before tax / "&amp;TEXT($M$38,"#,##0.00")&amp;" incl. tax","")&amp;" "&amp;$I$38,"")</f>
        <v/>
      </c>
      <c r="H264" s="0" t="str">
        <f aca="false">IF(B264=1,"Ask the forwarder to correct the amount or explain the difference.","")</f>
        <v/>
      </c>
      <c r="I264" s="0" t="str">
        <f aca="false">IF(B264=1,IF(ISNUMBER($J$38),ROUND($R$38*$J$38,2),""),"")</f>
        <v/>
      </c>
      <c r="J264" s="0" t="str">
        <f aca="false">IF(B264=1,D264*1000+ROW(),"")</f>
        <v/>
      </c>
      <c r="K264" s="0" t="str">
        <f aca="false">IF(AND(B264=1,C264="Question"),ROW(),"")</f>
        <v/>
      </c>
    </row>
    <row r="265" customFormat="false" ht="15" hidden="false" customHeight="false" outlineLevel="0" collapsed="false">
      <c r="A265" s="0" t="s">
        <v>535</v>
      </c>
      <c r="B265" s="0" t="n">
        <f aca="false">IFERROR(IF($S$38&gt;0,1,0),0)</f>
        <v>0</v>
      </c>
      <c r="C265" s="0" t="str">
        <f aca="false">"Error"</f>
        <v>Error</v>
      </c>
      <c r="D265" s="0" t="n">
        <f aca="false">IF(C265="Error",1,IF(C265="Question",2,3))</f>
        <v>1</v>
      </c>
      <c r="E265" s="0" t="str">
        <f aca="false">IF(B265=1,"Line 37: "&amp;$B$38,"")</f>
        <v/>
      </c>
      <c r="F265" s="0" t="str">
        <f aca="false">IF(B265=1,"Rate above the agreed rate","")</f>
        <v/>
      </c>
      <c r="G265" s="0" t="str">
        <f aca="false">IF(B265=1,"Quoted "&amp;TEXT($H$38,"#,##0.00##")&amp;" vs agreed "&amp;TEXT(Audit!$M$90,"#,##0.00##")&amp;" "&amp;Audit!$D$90,"")</f>
        <v/>
      </c>
      <c r="H265" s="0" t="str">
        <f aca="false">IF(B265=1,"Ask the forwarder to apply the agreed rate.","")</f>
        <v/>
      </c>
      <c r="I265" s="0" t="str">
        <f aca="false">IF(B265=1,$S$38,"")</f>
        <v/>
      </c>
      <c r="J265" s="0" t="str">
        <f aca="false">IF(B265=1,D265*1000+ROW(),"")</f>
        <v/>
      </c>
      <c r="K265" s="0" t="str">
        <f aca="false">IF(AND(B265=1,C265="Question"),ROW(),"")</f>
        <v/>
      </c>
    </row>
    <row r="266" customFormat="false" ht="15" hidden="false" customHeight="false" outlineLevel="0" collapsed="false">
      <c r="A266" s="0" t="s">
        <v>536</v>
      </c>
      <c r="B266" s="0" t="n">
        <f aca="false">IFERROR(IF($X$38&lt;&gt;"",1,0),0)</f>
        <v>0</v>
      </c>
      <c r="C266" s="0" t="str">
        <f aca="false">"Question"</f>
        <v>Question</v>
      </c>
      <c r="D266" s="0" t="n">
        <f aca="false">IF(C266="Error",1,IF(C266="Question",2,3))</f>
        <v>2</v>
      </c>
      <c r="E266" s="0" t="str">
        <f aca="false">IF(B266=1,"Line 37: "&amp;$B$38,"")</f>
        <v/>
      </c>
      <c r="F266" s="0" t="str">
        <f aca="false">IF(B266=1,IF($X$38="flag",INDEX(Lists!$B$21:$B$25,MATCH($T$38,Lists!$A$21:$A$25,0)),IF($X$38="status","Status missing",IF($X$38="basis","Charging unit not stated",IF($X$38="rate","Rate missing",IF($X$38="base","Base amount not stated",IF($X$38="unclass","Charge not explained",IF($X$38="dup","Possible duplicate (same name, same service)","Charge not in the rate agreement"))))))),"")</f>
        <v/>
      </c>
      <c r="G266" s="0" t="str">
        <f aca="false">IF(B266=1,IF($X$38="flag",IF(Audit!$O$90&lt;&gt;"",Audit!$O$90,INDEX(Lists!$C$21:$C$25,MATCH($T$38,Lists!$A$21:$A$25,0))),IF($X$38="status","No status entered for this line.",IF($X$38="basis","The quotation does not say per what unit this is charged.",IF($X$38="rate","No rate entered for a firm or estimated charge.",IF($X$38="base","A percentage charge needs the amount it is calculated on.",IF($X$38="unclass","The charge does not fit a standard category or its purpose is unclear.",IF($X$38="dup","The same charge name appears more than once in the same service.","A rate agreement was provided but has no rate for this charge."))))))),"")</f>
        <v/>
      </c>
      <c r="H266" s="0" t="str">
        <f aca="false">IF(B266=1,IF($X$38="flag",INDEX(Lists!$E$21:$E$25,MATCH($T$38,Lists!$A$21:$A$25,0)),IF($X$38="status","Set the line status.",IF($X$38="basis","Ask the forwarder for the charging unit (per container, per B/L, per CBM...).",IF($X$38="rate","Enter the rate, or set the status to At cost / TBC.",IF($X$38="base","Ask the forwarder for the base amount (e.g. customs value).",IF($X$38="unclass","Ask the forwarder what this charge covers.",IF($X$38="dup","Ask whether both lines are needed; remove the duplicate.","Ask why the charge is not in the agreement; check the contract."))))))),"")</f>
        <v/>
      </c>
      <c r="I266" s="0" t="str">
        <f aca="false">IF(B266=1,IF(OR($X$38="dup",AND($X$38="flag",IFERROR(INDEX(Lists!$G$21:$G$25,MATCH($T$38,Lists!$A$21:$A$25,0)),0)=1)),IF(ISNUMBER($N$38),$N$38,""),""),"")</f>
        <v/>
      </c>
      <c r="J266" s="0" t="str">
        <f aca="false">IF(B266=1,D266*1000+ROW(),"")</f>
        <v/>
      </c>
      <c r="K266" s="0" t="str">
        <f aca="false">IF(AND(B266=1,C266="Question"),ROW(),"")</f>
        <v/>
      </c>
    </row>
    <row r="267" customFormat="false" ht="15" hidden="false" customHeight="false" outlineLevel="0" collapsed="false">
      <c r="A267" s="0" t="s">
        <v>537</v>
      </c>
      <c r="B267" s="0" t="n">
        <f aca="false">IFERROR(IF(AND($W$38=1,$D$38&lt;&gt;"Duties &amp; taxes"),1,0),0)</f>
        <v>0</v>
      </c>
      <c r="C267" s="0" t="str">
        <f aca="false">"Risk"</f>
        <v>Risk</v>
      </c>
      <c r="D267" s="0" t="n">
        <f aca="false">IF(C267="Error",1,IF(C267="Question",2,3))</f>
        <v>3</v>
      </c>
      <c r="E267" s="0" t="str">
        <f aca="false">IF(B267=1,"Line 37: "&amp;$B$38,"")</f>
        <v/>
      </c>
      <c r="F267" s="0" t="str">
        <f aca="false">IF(B267=1,IF($F$38="TBC","Amount to be confirmed","Charged at cost - amount not quoted"),"")</f>
        <v/>
      </c>
      <c r="G267" s="0" t="str">
        <f aca="false">IF(B267=1,"The final cost is unknown until invoiced.","")</f>
        <v/>
      </c>
      <c r="H267" s="0" t="str">
        <f aca="false">IF(B267=1,"Ask for an indicative amount; tell the client it may be added.","")</f>
        <v/>
      </c>
      <c r="I267" s="0" t="str">
        <f aca="false">IF(B267=1,"","")</f>
        <v/>
      </c>
      <c r="J267" s="0" t="str">
        <f aca="false">IF(B267=1,D267*1000+ROW(),"")</f>
        <v/>
      </c>
      <c r="K267" s="0" t="str">
        <f aca="false">IF(AND(B267=1,C267="Question"),ROW(),"")</f>
        <v/>
      </c>
    </row>
    <row r="268" customFormat="false" ht="15" hidden="false" customHeight="false" outlineLevel="0" collapsed="false">
      <c r="A268" s="0" t="s">
        <v>538</v>
      </c>
      <c r="B268" s="0" t="n">
        <f aca="false">IFERROR(IF(LEFT($Q$39,5)="Error",1,0),0)</f>
        <v>0</v>
      </c>
      <c r="C268" s="0" t="str">
        <f aca="false">"Error"</f>
        <v>Error</v>
      </c>
      <c r="D268" s="0" t="n">
        <f aca="false">IF(C268="Error",1,IF(C268="Question",2,3))</f>
        <v>1</v>
      </c>
      <c r="E268" s="0" t="str">
        <f aca="false">IF(B268=1,"Line 38: "&amp;$B$39,"")</f>
        <v/>
      </c>
      <c r="F268" s="0" t="str">
        <f aca="false">IF(B268=1,"Line amount does not reconcile","")</f>
        <v/>
      </c>
      <c r="G268" s="0" t="str">
        <f aca="false">IF(B268=1,"Forwarder shows "&amp;TEXT($P$39,"#,##0.00")&amp;" vs calculated "&amp;TEXT($L$39,"#,##0.00")&amp;IF($Y$39&gt;0," before tax / "&amp;TEXT($M$39,"#,##0.00")&amp;" incl. tax","")&amp;" "&amp;$I$39,"")</f>
        <v/>
      </c>
      <c r="H268" s="0" t="str">
        <f aca="false">IF(B268=1,"Ask the forwarder to correct the amount or explain the difference.","")</f>
        <v/>
      </c>
      <c r="I268" s="0" t="str">
        <f aca="false">IF(B268=1,IF(ISNUMBER($J$39),ROUND($R$39*$J$39,2),""),"")</f>
        <v/>
      </c>
      <c r="J268" s="0" t="str">
        <f aca="false">IF(B268=1,D268*1000+ROW(),"")</f>
        <v/>
      </c>
      <c r="K268" s="0" t="str">
        <f aca="false">IF(AND(B268=1,C268="Question"),ROW(),"")</f>
        <v/>
      </c>
    </row>
    <row r="269" customFormat="false" ht="15" hidden="false" customHeight="false" outlineLevel="0" collapsed="false">
      <c r="A269" s="0" t="s">
        <v>539</v>
      </c>
      <c r="B269" s="0" t="n">
        <f aca="false">IFERROR(IF($S$39&gt;0,1,0),0)</f>
        <v>0</v>
      </c>
      <c r="C269" s="0" t="str">
        <f aca="false">"Error"</f>
        <v>Error</v>
      </c>
      <c r="D269" s="0" t="n">
        <f aca="false">IF(C269="Error",1,IF(C269="Question",2,3))</f>
        <v>1</v>
      </c>
      <c r="E269" s="0" t="str">
        <f aca="false">IF(B269=1,"Line 38: "&amp;$B$39,"")</f>
        <v/>
      </c>
      <c r="F269" s="0" t="str">
        <f aca="false">IF(B269=1,"Rate above the agreed rate","")</f>
        <v/>
      </c>
      <c r="G269" s="0" t="str">
        <f aca="false">IF(B269=1,"Quoted "&amp;TEXT($H$39,"#,##0.00##")&amp;" vs agreed "&amp;TEXT(Audit!$M$91,"#,##0.00##")&amp;" "&amp;Audit!$D$91,"")</f>
        <v/>
      </c>
      <c r="H269" s="0" t="str">
        <f aca="false">IF(B269=1,"Ask the forwarder to apply the agreed rate.","")</f>
        <v/>
      </c>
      <c r="I269" s="0" t="str">
        <f aca="false">IF(B269=1,$S$39,"")</f>
        <v/>
      </c>
      <c r="J269" s="0" t="str">
        <f aca="false">IF(B269=1,D269*1000+ROW(),"")</f>
        <v/>
      </c>
      <c r="K269" s="0" t="str">
        <f aca="false">IF(AND(B269=1,C269="Question"),ROW(),"")</f>
        <v/>
      </c>
    </row>
    <row r="270" customFormat="false" ht="15" hidden="false" customHeight="false" outlineLevel="0" collapsed="false">
      <c r="A270" s="0" t="s">
        <v>540</v>
      </c>
      <c r="B270" s="0" t="n">
        <f aca="false">IFERROR(IF($X$39&lt;&gt;"",1,0),0)</f>
        <v>0</v>
      </c>
      <c r="C270" s="0" t="str">
        <f aca="false">"Question"</f>
        <v>Question</v>
      </c>
      <c r="D270" s="0" t="n">
        <f aca="false">IF(C270="Error",1,IF(C270="Question",2,3))</f>
        <v>2</v>
      </c>
      <c r="E270" s="0" t="str">
        <f aca="false">IF(B270=1,"Line 38: "&amp;$B$39,"")</f>
        <v/>
      </c>
      <c r="F270" s="0" t="str">
        <f aca="false">IF(B270=1,IF($X$39="flag",INDEX(Lists!$B$21:$B$25,MATCH($T$39,Lists!$A$21:$A$25,0)),IF($X$39="status","Status missing",IF($X$39="basis","Charging unit not stated",IF($X$39="rate","Rate missing",IF($X$39="base","Base amount not stated",IF($X$39="unclass","Charge not explained",IF($X$39="dup","Possible duplicate (same name, same service)","Charge not in the rate agreement"))))))),"")</f>
        <v/>
      </c>
      <c r="G270" s="0" t="str">
        <f aca="false">IF(B270=1,IF($X$39="flag",IF(Audit!$O$91&lt;&gt;"",Audit!$O$91,INDEX(Lists!$C$21:$C$25,MATCH($T$39,Lists!$A$21:$A$25,0))),IF($X$39="status","No status entered for this line.",IF($X$39="basis","The quotation does not say per what unit this is charged.",IF($X$39="rate","No rate entered for a firm or estimated charge.",IF($X$39="base","A percentage charge needs the amount it is calculated on.",IF($X$39="unclass","The charge does not fit a standard category or its purpose is unclear.",IF($X$39="dup","The same charge name appears more than once in the same service.","A rate agreement was provided but has no rate for this charge."))))))),"")</f>
        <v/>
      </c>
      <c r="H270" s="0" t="str">
        <f aca="false">IF(B270=1,IF($X$39="flag",INDEX(Lists!$E$21:$E$25,MATCH($T$39,Lists!$A$21:$A$25,0)),IF($X$39="status","Set the line status.",IF($X$39="basis","Ask the forwarder for the charging unit (per container, per B/L, per CBM...).",IF($X$39="rate","Enter the rate, or set the status to At cost / TBC.",IF($X$39="base","Ask the forwarder for the base amount (e.g. customs value).",IF($X$39="unclass","Ask the forwarder what this charge covers.",IF($X$39="dup","Ask whether both lines are needed; remove the duplicate.","Ask why the charge is not in the agreement; check the contract."))))))),"")</f>
        <v/>
      </c>
      <c r="I270" s="0" t="str">
        <f aca="false">IF(B270=1,IF(OR($X$39="dup",AND($X$39="flag",IFERROR(INDEX(Lists!$G$21:$G$25,MATCH($T$39,Lists!$A$21:$A$25,0)),0)=1)),IF(ISNUMBER($N$39),$N$39,""),""),"")</f>
        <v/>
      </c>
      <c r="J270" s="0" t="str">
        <f aca="false">IF(B270=1,D270*1000+ROW(),"")</f>
        <v/>
      </c>
      <c r="K270" s="0" t="str">
        <f aca="false">IF(AND(B270=1,C270="Question"),ROW(),"")</f>
        <v/>
      </c>
    </row>
    <row r="271" customFormat="false" ht="15" hidden="false" customHeight="false" outlineLevel="0" collapsed="false">
      <c r="A271" s="0" t="s">
        <v>541</v>
      </c>
      <c r="B271" s="0" t="n">
        <f aca="false">IFERROR(IF(AND($W$39=1,$D$39&lt;&gt;"Duties &amp; taxes"),1,0),0)</f>
        <v>0</v>
      </c>
      <c r="C271" s="0" t="str">
        <f aca="false">"Risk"</f>
        <v>Risk</v>
      </c>
      <c r="D271" s="0" t="n">
        <f aca="false">IF(C271="Error",1,IF(C271="Question",2,3))</f>
        <v>3</v>
      </c>
      <c r="E271" s="0" t="str">
        <f aca="false">IF(B271=1,"Line 38: "&amp;$B$39,"")</f>
        <v/>
      </c>
      <c r="F271" s="0" t="str">
        <f aca="false">IF(B271=1,IF($F$39="TBC","Amount to be confirmed","Charged at cost - amount not quoted"),"")</f>
        <v/>
      </c>
      <c r="G271" s="0" t="str">
        <f aca="false">IF(B271=1,"The final cost is unknown until invoiced.","")</f>
        <v/>
      </c>
      <c r="H271" s="0" t="str">
        <f aca="false">IF(B271=1,"Ask for an indicative amount; tell the client it may be added.","")</f>
        <v/>
      </c>
      <c r="I271" s="0" t="str">
        <f aca="false">IF(B271=1,"","")</f>
        <v/>
      </c>
      <c r="J271" s="0" t="str">
        <f aca="false">IF(B271=1,D271*1000+ROW(),"")</f>
        <v/>
      </c>
      <c r="K271" s="0" t="str">
        <f aca="false">IF(AND(B271=1,C271="Question"),ROW(),"")</f>
        <v/>
      </c>
    </row>
    <row r="272" customFormat="false" ht="15" hidden="false" customHeight="false" outlineLevel="0" collapsed="false">
      <c r="A272" s="0" t="s">
        <v>542</v>
      </c>
      <c r="B272" s="0" t="n">
        <f aca="false">IFERROR(IF(LEFT($Q$40,5)="Error",1,0),0)</f>
        <v>0</v>
      </c>
      <c r="C272" s="0" t="str">
        <f aca="false">"Error"</f>
        <v>Error</v>
      </c>
      <c r="D272" s="0" t="n">
        <f aca="false">IF(C272="Error",1,IF(C272="Question",2,3))</f>
        <v>1</v>
      </c>
      <c r="E272" s="0" t="str">
        <f aca="false">IF(B272=1,"Line 39: "&amp;$B$40,"")</f>
        <v/>
      </c>
      <c r="F272" s="0" t="str">
        <f aca="false">IF(B272=1,"Line amount does not reconcile","")</f>
        <v/>
      </c>
      <c r="G272" s="0" t="str">
        <f aca="false">IF(B272=1,"Forwarder shows "&amp;TEXT($P$40,"#,##0.00")&amp;" vs calculated "&amp;TEXT($L$40,"#,##0.00")&amp;IF($Y$40&gt;0," before tax / "&amp;TEXT($M$40,"#,##0.00")&amp;" incl. tax","")&amp;" "&amp;$I$40,"")</f>
        <v/>
      </c>
      <c r="H272" s="0" t="str">
        <f aca="false">IF(B272=1,"Ask the forwarder to correct the amount or explain the difference.","")</f>
        <v/>
      </c>
      <c r="I272" s="0" t="str">
        <f aca="false">IF(B272=1,IF(ISNUMBER($J$40),ROUND($R$40*$J$40,2),""),"")</f>
        <v/>
      </c>
      <c r="J272" s="0" t="str">
        <f aca="false">IF(B272=1,D272*1000+ROW(),"")</f>
        <v/>
      </c>
      <c r="K272" s="0" t="str">
        <f aca="false">IF(AND(B272=1,C272="Question"),ROW(),"")</f>
        <v/>
      </c>
    </row>
    <row r="273" customFormat="false" ht="15" hidden="false" customHeight="false" outlineLevel="0" collapsed="false">
      <c r="A273" s="0" t="s">
        <v>543</v>
      </c>
      <c r="B273" s="0" t="n">
        <f aca="false">IFERROR(IF($S$40&gt;0,1,0),0)</f>
        <v>0</v>
      </c>
      <c r="C273" s="0" t="str">
        <f aca="false">"Error"</f>
        <v>Error</v>
      </c>
      <c r="D273" s="0" t="n">
        <f aca="false">IF(C273="Error",1,IF(C273="Question",2,3))</f>
        <v>1</v>
      </c>
      <c r="E273" s="0" t="str">
        <f aca="false">IF(B273=1,"Line 39: "&amp;$B$40,"")</f>
        <v/>
      </c>
      <c r="F273" s="0" t="str">
        <f aca="false">IF(B273=1,"Rate above the agreed rate","")</f>
        <v/>
      </c>
      <c r="G273" s="0" t="str">
        <f aca="false">IF(B273=1,"Quoted "&amp;TEXT($H$40,"#,##0.00##")&amp;" vs agreed "&amp;TEXT(Audit!$M$92,"#,##0.00##")&amp;" "&amp;Audit!$D$92,"")</f>
        <v/>
      </c>
      <c r="H273" s="0" t="str">
        <f aca="false">IF(B273=1,"Ask the forwarder to apply the agreed rate.","")</f>
        <v/>
      </c>
      <c r="I273" s="0" t="str">
        <f aca="false">IF(B273=1,$S$40,"")</f>
        <v/>
      </c>
      <c r="J273" s="0" t="str">
        <f aca="false">IF(B273=1,D273*1000+ROW(),"")</f>
        <v/>
      </c>
      <c r="K273" s="0" t="str">
        <f aca="false">IF(AND(B273=1,C273="Question"),ROW(),"")</f>
        <v/>
      </c>
    </row>
    <row r="274" customFormat="false" ht="15" hidden="false" customHeight="false" outlineLevel="0" collapsed="false">
      <c r="A274" s="0" t="s">
        <v>544</v>
      </c>
      <c r="B274" s="0" t="n">
        <f aca="false">IFERROR(IF($X$40&lt;&gt;"",1,0),0)</f>
        <v>0</v>
      </c>
      <c r="C274" s="0" t="str">
        <f aca="false">"Question"</f>
        <v>Question</v>
      </c>
      <c r="D274" s="0" t="n">
        <f aca="false">IF(C274="Error",1,IF(C274="Question",2,3))</f>
        <v>2</v>
      </c>
      <c r="E274" s="0" t="str">
        <f aca="false">IF(B274=1,"Line 39: "&amp;$B$40,"")</f>
        <v/>
      </c>
      <c r="F274" s="0" t="str">
        <f aca="false">IF(B274=1,IF($X$40="flag",INDEX(Lists!$B$21:$B$25,MATCH($T$40,Lists!$A$21:$A$25,0)),IF($X$40="status","Status missing",IF($X$40="basis","Charging unit not stated",IF($X$40="rate","Rate missing",IF($X$40="base","Base amount not stated",IF($X$40="unclass","Charge not explained",IF($X$40="dup","Possible duplicate (same name, same service)","Charge not in the rate agreement"))))))),"")</f>
        <v/>
      </c>
      <c r="G274" s="0" t="str">
        <f aca="false">IF(B274=1,IF($X$40="flag",IF(Audit!$O$92&lt;&gt;"",Audit!$O$92,INDEX(Lists!$C$21:$C$25,MATCH($T$40,Lists!$A$21:$A$25,0))),IF($X$40="status","No status entered for this line.",IF($X$40="basis","The quotation does not say per what unit this is charged.",IF($X$40="rate","No rate entered for a firm or estimated charge.",IF($X$40="base","A percentage charge needs the amount it is calculated on.",IF($X$40="unclass","The charge does not fit a standard category or its purpose is unclear.",IF($X$40="dup","The same charge name appears more than once in the same service.","A rate agreement was provided but has no rate for this charge."))))))),"")</f>
        <v/>
      </c>
      <c r="H274" s="0" t="str">
        <f aca="false">IF(B274=1,IF($X$40="flag",INDEX(Lists!$E$21:$E$25,MATCH($T$40,Lists!$A$21:$A$25,0)),IF($X$40="status","Set the line status.",IF($X$40="basis","Ask the forwarder for the charging unit (per container, per B/L, per CBM...).",IF($X$40="rate","Enter the rate, or set the status to At cost / TBC.",IF($X$40="base","Ask the forwarder for the base amount (e.g. customs value).",IF($X$40="unclass","Ask the forwarder what this charge covers.",IF($X$40="dup","Ask whether both lines are needed; remove the duplicate.","Ask why the charge is not in the agreement; check the contract."))))))),"")</f>
        <v/>
      </c>
      <c r="I274" s="0" t="str">
        <f aca="false">IF(B274=1,IF(OR($X$40="dup",AND($X$40="flag",IFERROR(INDEX(Lists!$G$21:$G$25,MATCH($T$40,Lists!$A$21:$A$25,0)),0)=1)),IF(ISNUMBER($N$40),$N$40,""),""),"")</f>
        <v/>
      </c>
      <c r="J274" s="0" t="str">
        <f aca="false">IF(B274=1,D274*1000+ROW(),"")</f>
        <v/>
      </c>
      <c r="K274" s="0" t="str">
        <f aca="false">IF(AND(B274=1,C274="Question"),ROW(),"")</f>
        <v/>
      </c>
    </row>
    <row r="275" customFormat="false" ht="15" hidden="false" customHeight="false" outlineLevel="0" collapsed="false">
      <c r="A275" s="0" t="s">
        <v>545</v>
      </c>
      <c r="B275" s="0" t="n">
        <f aca="false">IFERROR(IF(AND($W$40=1,$D$40&lt;&gt;"Duties &amp; taxes"),1,0),0)</f>
        <v>0</v>
      </c>
      <c r="C275" s="0" t="str">
        <f aca="false">"Risk"</f>
        <v>Risk</v>
      </c>
      <c r="D275" s="0" t="n">
        <f aca="false">IF(C275="Error",1,IF(C275="Question",2,3))</f>
        <v>3</v>
      </c>
      <c r="E275" s="0" t="str">
        <f aca="false">IF(B275=1,"Line 39: "&amp;$B$40,"")</f>
        <v/>
      </c>
      <c r="F275" s="0" t="str">
        <f aca="false">IF(B275=1,IF($F$40="TBC","Amount to be confirmed","Charged at cost - amount not quoted"),"")</f>
        <v/>
      </c>
      <c r="G275" s="0" t="str">
        <f aca="false">IF(B275=1,"The final cost is unknown until invoiced.","")</f>
        <v/>
      </c>
      <c r="H275" s="0" t="str">
        <f aca="false">IF(B275=1,"Ask for an indicative amount; tell the client it may be added.","")</f>
        <v/>
      </c>
      <c r="I275" s="0" t="str">
        <f aca="false">IF(B275=1,"","")</f>
        <v/>
      </c>
      <c r="J275" s="0" t="str">
        <f aca="false">IF(B275=1,D275*1000+ROW(),"")</f>
        <v/>
      </c>
      <c r="K275" s="0" t="str">
        <f aca="false">IF(AND(B275=1,C275="Question"),ROW(),"")</f>
        <v/>
      </c>
    </row>
    <row r="276" customFormat="false" ht="15" hidden="false" customHeight="false" outlineLevel="0" collapsed="false">
      <c r="A276" s="0" t="s">
        <v>546</v>
      </c>
      <c r="B276" s="0" t="n">
        <f aca="false">IFERROR(IF(LEFT($Q$41,5)="Error",1,0),0)</f>
        <v>0</v>
      </c>
      <c r="C276" s="0" t="str">
        <f aca="false">"Error"</f>
        <v>Error</v>
      </c>
      <c r="D276" s="0" t="n">
        <f aca="false">IF(C276="Error",1,IF(C276="Question",2,3))</f>
        <v>1</v>
      </c>
      <c r="E276" s="0" t="str">
        <f aca="false">IF(B276=1,"Line 40: "&amp;$B$41,"")</f>
        <v/>
      </c>
      <c r="F276" s="0" t="str">
        <f aca="false">IF(B276=1,"Line amount does not reconcile","")</f>
        <v/>
      </c>
      <c r="G276" s="0" t="str">
        <f aca="false">IF(B276=1,"Forwarder shows "&amp;TEXT($P$41,"#,##0.00")&amp;" vs calculated "&amp;TEXT($L$41,"#,##0.00")&amp;IF($Y$41&gt;0," before tax / "&amp;TEXT($M$41,"#,##0.00")&amp;" incl. tax","")&amp;" "&amp;$I$41,"")</f>
        <v/>
      </c>
      <c r="H276" s="0" t="str">
        <f aca="false">IF(B276=1,"Ask the forwarder to correct the amount or explain the difference.","")</f>
        <v/>
      </c>
      <c r="I276" s="0" t="str">
        <f aca="false">IF(B276=1,IF(ISNUMBER($J$41),ROUND($R$41*$J$41,2),""),"")</f>
        <v/>
      </c>
      <c r="J276" s="0" t="str">
        <f aca="false">IF(B276=1,D276*1000+ROW(),"")</f>
        <v/>
      </c>
      <c r="K276" s="0" t="str">
        <f aca="false">IF(AND(B276=1,C276="Question"),ROW(),"")</f>
        <v/>
      </c>
    </row>
    <row r="277" customFormat="false" ht="15" hidden="false" customHeight="false" outlineLevel="0" collapsed="false">
      <c r="A277" s="0" t="s">
        <v>547</v>
      </c>
      <c r="B277" s="0" t="n">
        <f aca="false">IFERROR(IF($S$41&gt;0,1,0),0)</f>
        <v>0</v>
      </c>
      <c r="C277" s="0" t="str">
        <f aca="false">"Error"</f>
        <v>Error</v>
      </c>
      <c r="D277" s="0" t="n">
        <f aca="false">IF(C277="Error",1,IF(C277="Question",2,3))</f>
        <v>1</v>
      </c>
      <c r="E277" s="0" t="str">
        <f aca="false">IF(B277=1,"Line 40: "&amp;$B$41,"")</f>
        <v/>
      </c>
      <c r="F277" s="0" t="str">
        <f aca="false">IF(B277=1,"Rate above the agreed rate","")</f>
        <v/>
      </c>
      <c r="G277" s="0" t="str">
        <f aca="false">IF(B277=1,"Quoted "&amp;TEXT($H$41,"#,##0.00##")&amp;" vs agreed "&amp;TEXT(Audit!$M$93,"#,##0.00##")&amp;" "&amp;Audit!$D$93,"")</f>
        <v/>
      </c>
      <c r="H277" s="0" t="str">
        <f aca="false">IF(B277=1,"Ask the forwarder to apply the agreed rate.","")</f>
        <v/>
      </c>
      <c r="I277" s="0" t="str">
        <f aca="false">IF(B277=1,$S$41,"")</f>
        <v/>
      </c>
      <c r="J277" s="0" t="str">
        <f aca="false">IF(B277=1,D277*1000+ROW(),"")</f>
        <v/>
      </c>
      <c r="K277" s="0" t="str">
        <f aca="false">IF(AND(B277=1,C277="Question"),ROW(),"")</f>
        <v/>
      </c>
    </row>
    <row r="278" customFormat="false" ht="15" hidden="false" customHeight="false" outlineLevel="0" collapsed="false">
      <c r="A278" s="0" t="s">
        <v>548</v>
      </c>
      <c r="B278" s="0" t="n">
        <f aca="false">IFERROR(IF($X$41&lt;&gt;"",1,0),0)</f>
        <v>0</v>
      </c>
      <c r="C278" s="0" t="str">
        <f aca="false">"Question"</f>
        <v>Question</v>
      </c>
      <c r="D278" s="0" t="n">
        <f aca="false">IF(C278="Error",1,IF(C278="Question",2,3))</f>
        <v>2</v>
      </c>
      <c r="E278" s="0" t="str">
        <f aca="false">IF(B278=1,"Line 40: "&amp;$B$41,"")</f>
        <v/>
      </c>
      <c r="F278" s="0" t="str">
        <f aca="false">IF(B278=1,IF($X$41="flag",INDEX(Lists!$B$21:$B$25,MATCH($T$41,Lists!$A$21:$A$25,0)),IF($X$41="status","Status missing",IF($X$41="basis","Charging unit not stated",IF($X$41="rate","Rate missing",IF($X$41="base","Base amount not stated",IF($X$41="unclass","Charge not explained",IF($X$41="dup","Possible duplicate (same name, same service)","Charge not in the rate agreement"))))))),"")</f>
        <v/>
      </c>
      <c r="G278" s="0" t="str">
        <f aca="false">IF(B278=1,IF($X$41="flag",IF(Audit!$O$93&lt;&gt;"",Audit!$O$93,INDEX(Lists!$C$21:$C$25,MATCH($T$41,Lists!$A$21:$A$25,0))),IF($X$41="status","No status entered for this line.",IF($X$41="basis","The quotation does not say per what unit this is charged.",IF($X$41="rate","No rate entered for a firm or estimated charge.",IF($X$41="base","A percentage charge needs the amount it is calculated on.",IF($X$41="unclass","The charge does not fit a standard category or its purpose is unclear.",IF($X$41="dup","The same charge name appears more than once in the same service.","A rate agreement was provided but has no rate for this charge."))))))),"")</f>
        <v/>
      </c>
      <c r="H278" s="0" t="str">
        <f aca="false">IF(B278=1,IF($X$41="flag",INDEX(Lists!$E$21:$E$25,MATCH($T$41,Lists!$A$21:$A$25,0)),IF($X$41="status","Set the line status.",IF($X$41="basis","Ask the forwarder for the charging unit (per container, per B/L, per CBM...).",IF($X$41="rate","Enter the rate, or set the status to At cost / TBC.",IF($X$41="base","Ask the forwarder for the base amount (e.g. customs value).",IF($X$41="unclass","Ask the forwarder what this charge covers.",IF($X$41="dup","Ask whether both lines are needed; remove the duplicate.","Ask why the charge is not in the agreement; check the contract."))))))),"")</f>
        <v/>
      </c>
      <c r="I278" s="0" t="str">
        <f aca="false">IF(B278=1,IF(OR($X$41="dup",AND($X$41="flag",IFERROR(INDEX(Lists!$G$21:$G$25,MATCH($T$41,Lists!$A$21:$A$25,0)),0)=1)),IF(ISNUMBER($N$41),$N$41,""),""),"")</f>
        <v/>
      </c>
      <c r="J278" s="0" t="str">
        <f aca="false">IF(B278=1,D278*1000+ROW(),"")</f>
        <v/>
      </c>
      <c r="K278" s="0" t="str">
        <f aca="false">IF(AND(B278=1,C278="Question"),ROW(),"")</f>
        <v/>
      </c>
    </row>
    <row r="279" customFormat="false" ht="15" hidden="false" customHeight="false" outlineLevel="0" collapsed="false">
      <c r="A279" s="0" t="s">
        <v>549</v>
      </c>
      <c r="B279" s="0" t="n">
        <f aca="false">IFERROR(IF(AND($W$41=1,$D$41&lt;&gt;"Duties &amp; taxes"),1,0),0)</f>
        <v>0</v>
      </c>
      <c r="C279" s="0" t="str">
        <f aca="false">"Risk"</f>
        <v>Risk</v>
      </c>
      <c r="D279" s="0" t="n">
        <f aca="false">IF(C279="Error",1,IF(C279="Question",2,3))</f>
        <v>3</v>
      </c>
      <c r="E279" s="0" t="str">
        <f aca="false">IF(B279=1,"Line 40: "&amp;$B$41,"")</f>
        <v/>
      </c>
      <c r="F279" s="0" t="str">
        <f aca="false">IF(B279=1,IF($F$41="TBC","Amount to be confirmed","Charged at cost - amount not quoted"),"")</f>
        <v/>
      </c>
      <c r="G279" s="0" t="str">
        <f aca="false">IF(B279=1,"The final cost is unknown until invoiced.","")</f>
        <v/>
      </c>
      <c r="H279" s="0" t="str">
        <f aca="false">IF(B279=1,"Ask for an indicative amount; tell the client it may be added.","")</f>
        <v/>
      </c>
      <c r="I279" s="0" t="str">
        <f aca="false">IF(B279=1,"","")</f>
        <v/>
      </c>
      <c r="J279" s="0" t="str">
        <f aca="false">IF(B279=1,D279*1000+ROW(),"")</f>
        <v/>
      </c>
      <c r="K279" s="0" t="str">
        <f aca="false">IF(AND(B279=1,C279="Question"),ROW(),"")</f>
        <v/>
      </c>
    </row>
    <row r="280" customFormat="false" ht="15" hidden="false" customHeight="false" outlineLevel="0" collapsed="false">
      <c r="A280" s="0" t="s">
        <v>550</v>
      </c>
      <c r="B280" s="0" t="n">
        <f aca="false">IFERROR(IF(LEFT($Q$42,5)="Error",1,0),0)</f>
        <v>0</v>
      </c>
      <c r="C280" s="0" t="str">
        <f aca="false">"Error"</f>
        <v>Error</v>
      </c>
      <c r="D280" s="0" t="n">
        <f aca="false">IF(C280="Error",1,IF(C280="Question",2,3))</f>
        <v>1</v>
      </c>
      <c r="E280" s="0" t="str">
        <f aca="false">IF(B280=1,"Line 41: "&amp;$B$42,"")</f>
        <v/>
      </c>
      <c r="F280" s="0" t="str">
        <f aca="false">IF(B280=1,"Line amount does not reconcile","")</f>
        <v/>
      </c>
      <c r="G280" s="0" t="str">
        <f aca="false">IF(B280=1,"Forwarder shows "&amp;TEXT($P$42,"#,##0.00")&amp;" vs calculated "&amp;TEXT($L$42,"#,##0.00")&amp;IF($Y$42&gt;0," before tax / "&amp;TEXT($M$42,"#,##0.00")&amp;" incl. tax","")&amp;" "&amp;$I$42,"")</f>
        <v/>
      </c>
      <c r="H280" s="0" t="str">
        <f aca="false">IF(B280=1,"Ask the forwarder to correct the amount or explain the difference.","")</f>
        <v/>
      </c>
      <c r="I280" s="0" t="str">
        <f aca="false">IF(B280=1,IF(ISNUMBER($J$42),ROUND($R$42*$J$42,2),""),"")</f>
        <v/>
      </c>
      <c r="J280" s="0" t="str">
        <f aca="false">IF(B280=1,D280*1000+ROW(),"")</f>
        <v/>
      </c>
      <c r="K280" s="0" t="str">
        <f aca="false">IF(AND(B280=1,C280="Question"),ROW(),"")</f>
        <v/>
      </c>
    </row>
    <row r="281" customFormat="false" ht="15" hidden="false" customHeight="false" outlineLevel="0" collapsed="false">
      <c r="A281" s="0" t="s">
        <v>551</v>
      </c>
      <c r="B281" s="0" t="n">
        <f aca="false">IFERROR(IF($S$42&gt;0,1,0),0)</f>
        <v>0</v>
      </c>
      <c r="C281" s="0" t="str">
        <f aca="false">"Error"</f>
        <v>Error</v>
      </c>
      <c r="D281" s="0" t="n">
        <f aca="false">IF(C281="Error",1,IF(C281="Question",2,3))</f>
        <v>1</v>
      </c>
      <c r="E281" s="0" t="str">
        <f aca="false">IF(B281=1,"Line 41: "&amp;$B$42,"")</f>
        <v/>
      </c>
      <c r="F281" s="0" t="str">
        <f aca="false">IF(B281=1,"Rate above the agreed rate","")</f>
        <v/>
      </c>
      <c r="G281" s="0" t="str">
        <f aca="false">IF(B281=1,"Quoted "&amp;TEXT($H$42,"#,##0.00##")&amp;" vs agreed "&amp;TEXT(Audit!$M$94,"#,##0.00##")&amp;" "&amp;Audit!$D$94,"")</f>
        <v/>
      </c>
      <c r="H281" s="0" t="str">
        <f aca="false">IF(B281=1,"Ask the forwarder to apply the agreed rate.","")</f>
        <v/>
      </c>
      <c r="I281" s="0" t="str">
        <f aca="false">IF(B281=1,$S$42,"")</f>
        <v/>
      </c>
      <c r="J281" s="0" t="str">
        <f aca="false">IF(B281=1,D281*1000+ROW(),"")</f>
        <v/>
      </c>
      <c r="K281" s="0" t="str">
        <f aca="false">IF(AND(B281=1,C281="Question"),ROW(),"")</f>
        <v/>
      </c>
    </row>
    <row r="282" customFormat="false" ht="15" hidden="false" customHeight="false" outlineLevel="0" collapsed="false">
      <c r="A282" s="0" t="s">
        <v>552</v>
      </c>
      <c r="B282" s="0" t="n">
        <f aca="false">IFERROR(IF($X$42&lt;&gt;"",1,0),0)</f>
        <v>0</v>
      </c>
      <c r="C282" s="0" t="str">
        <f aca="false">"Question"</f>
        <v>Question</v>
      </c>
      <c r="D282" s="0" t="n">
        <f aca="false">IF(C282="Error",1,IF(C282="Question",2,3))</f>
        <v>2</v>
      </c>
      <c r="E282" s="0" t="str">
        <f aca="false">IF(B282=1,"Line 41: "&amp;$B$42,"")</f>
        <v/>
      </c>
      <c r="F282" s="0" t="str">
        <f aca="false">IF(B282=1,IF($X$42="flag",INDEX(Lists!$B$21:$B$25,MATCH($T$42,Lists!$A$21:$A$25,0)),IF($X$42="status","Status missing",IF($X$42="basis","Charging unit not stated",IF($X$42="rate","Rate missing",IF($X$42="base","Base amount not stated",IF($X$42="unclass","Charge not explained",IF($X$42="dup","Possible duplicate (same name, same service)","Charge not in the rate agreement"))))))),"")</f>
        <v/>
      </c>
      <c r="G282" s="0" t="str">
        <f aca="false">IF(B282=1,IF($X$42="flag",IF(Audit!$O$94&lt;&gt;"",Audit!$O$94,INDEX(Lists!$C$21:$C$25,MATCH($T$42,Lists!$A$21:$A$25,0))),IF($X$42="status","No status entered for this line.",IF($X$42="basis","The quotation does not say per what unit this is charged.",IF($X$42="rate","No rate entered for a firm or estimated charge.",IF($X$42="base","A percentage charge needs the amount it is calculated on.",IF($X$42="unclass","The charge does not fit a standard category or its purpose is unclear.",IF($X$42="dup","The same charge name appears more than once in the same service.","A rate agreement was provided but has no rate for this charge."))))))),"")</f>
        <v/>
      </c>
      <c r="H282" s="0" t="str">
        <f aca="false">IF(B282=1,IF($X$42="flag",INDEX(Lists!$E$21:$E$25,MATCH($T$42,Lists!$A$21:$A$25,0)),IF($X$42="status","Set the line status.",IF($X$42="basis","Ask the forwarder for the charging unit (per container, per B/L, per CBM...).",IF($X$42="rate","Enter the rate, or set the status to At cost / TBC.",IF($X$42="base","Ask the forwarder for the base amount (e.g. customs value).",IF($X$42="unclass","Ask the forwarder what this charge covers.",IF($X$42="dup","Ask whether both lines are needed; remove the duplicate.","Ask why the charge is not in the agreement; check the contract."))))))),"")</f>
        <v/>
      </c>
      <c r="I282" s="0" t="str">
        <f aca="false">IF(B282=1,IF(OR($X$42="dup",AND($X$42="flag",IFERROR(INDEX(Lists!$G$21:$G$25,MATCH($T$42,Lists!$A$21:$A$25,0)),0)=1)),IF(ISNUMBER($N$42),$N$42,""),""),"")</f>
        <v/>
      </c>
      <c r="J282" s="0" t="str">
        <f aca="false">IF(B282=1,D282*1000+ROW(),"")</f>
        <v/>
      </c>
      <c r="K282" s="0" t="str">
        <f aca="false">IF(AND(B282=1,C282="Question"),ROW(),"")</f>
        <v/>
      </c>
    </row>
    <row r="283" customFormat="false" ht="15" hidden="false" customHeight="false" outlineLevel="0" collapsed="false">
      <c r="A283" s="0" t="s">
        <v>553</v>
      </c>
      <c r="B283" s="0" t="n">
        <f aca="false">IFERROR(IF(AND($W$42=1,$D$42&lt;&gt;"Duties &amp; taxes"),1,0),0)</f>
        <v>0</v>
      </c>
      <c r="C283" s="0" t="str">
        <f aca="false">"Risk"</f>
        <v>Risk</v>
      </c>
      <c r="D283" s="0" t="n">
        <f aca="false">IF(C283="Error",1,IF(C283="Question",2,3))</f>
        <v>3</v>
      </c>
      <c r="E283" s="0" t="str">
        <f aca="false">IF(B283=1,"Line 41: "&amp;$B$42,"")</f>
        <v/>
      </c>
      <c r="F283" s="0" t="str">
        <f aca="false">IF(B283=1,IF($F$42="TBC","Amount to be confirmed","Charged at cost - amount not quoted"),"")</f>
        <v/>
      </c>
      <c r="G283" s="0" t="str">
        <f aca="false">IF(B283=1,"The final cost is unknown until invoiced.","")</f>
        <v/>
      </c>
      <c r="H283" s="0" t="str">
        <f aca="false">IF(B283=1,"Ask for an indicative amount; tell the client it may be added.","")</f>
        <v/>
      </c>
      <c r="I283" s="0" t="str">
        <f aca="false">IF(B283=1,"","")</f>
        <v/>
      </c>
      <c r="J283" s="0" t="str">
        <f aca="false">IF(B283=1,D283*1000+ROW(),"")</f>
        <v/>
      </c>
      <c r="K283" s="0" t="str">
        <f aca="false">IF(AND(B283=1,C283="Question"),ROW(),"")</f>
        <v/>
      </c>
    </row>
    <row r="284" customFormat="false" ht="15" hidden="false" customHeight="false" outlineLevel="0" collapsed="false">
      <c r="A284" s="0" t="s">
        <v>554</v>
      </c>
      <c r="B284" s="0" t="n">
        <f aca="false">IFERROR(IF(LEFT($Q$43,5)="Error",1,0),0)</f>
        <v>0</v>
      </c>
      <c r="C284" s="0" t="str">
        <f aca="false">"Error"</f>
        <v>Error</v>
      </c>
      <c r="D284" s="0" t="n">
        <f aca="false">IF(C284="Error",1,IF(C284="Question",2,3))</f>
        <v>1</v>
      </c>
      <c r="E284" s="0" t="str">
        <f aca="false">IF(B284=1,"Line 42: "&amp;$B$43,"")</f>
        <v/>
      </c>
      <c r="F284" s="0" t="str">
        <f aca="false">IF(B284=1,"Line amount does not reconcile","")</f>
        <v/>
      </c>
      <c r="G284" s="0" t="str">
        <f aca="false">IF(B284=1,"Forwarder shows "&amp;TEXT($P$43,"#,##0.00")&amp;" vs calculated "&amp;TEXT($L$43,"#,##0.00")&amp;IF($Y$43&gt;0," before tax / "&amp;TEXT($M$43,"#,##0.00")&amp;" incl. tax","")&amp;" "&amp;$I$43,"")</f>
        <v/>
      </c>
      <c r="H284" s="0" t="str">
        <f aca="false">IF(B284=1,"Ask the forwarder to correct the amount or explain the difference.","")</f>
        <v/>
      </c>
      <c r="I284" s="0" t="str">
        <f aca="false">IF(B284=1,IF(ISNUMBER($J$43),ROUND($R$43*$J$43,2),""),"")</f>
        <v/>
      </c>
      <c r="J284" s="0" t="str">
        <f aca="false">IF(B284=1,D284*1000+ROW(),"")</f>
        <v/>
      </c>
      <c r="K284" s="0" t="str">
        <f aca="false">IF(AND(B284=1,C284="Question"),ROW(),"")</f>
        <v/>
      </c>
    </row>
    <row r="285" customFormat="false" ht="15" hidden="false" customHeight="false" outlineLevel="0" collapsed="false">
      <c r="A285" s="0" t="s">
        <v>555</v>
      </c>
      <c r="B285" s="0" t="n">
        <f aca="false">IFERROR(IF($S$43&gt;0,1,0),0)</f>
        <v>0</v>
      </c>
      <c r="C285" s="0" t="str">
        <f aca="false">"Error"</f>
        <v>Error</v>
      </c>
      <c r="D285" s="0" t="n">
        <f aca="false">IF(C285="Error",1,IF(C285="Question",2,3))</f>
        <v>1</v>
      </c>
      <c r="E285" s="0" t="str">
        <f aca="false">IF(B285=1,"Line 42: "&amp;$B$43,"")</f>
        <v/>
      </c>
      <c r="F285" s="0" t="str">
        <f aca="false">IF(B285=1,"Rate above the agreed rate","")</f>
        <v/>
      </c>
      <c r="G285" s="0" t="str">
        <f aca="false">IF(B285=1,"Quoted "&amp;TEXT($H$43,"#,##0.00##")&amp;" vs agreed "&amp;TEXT(Audit!$M$95,"#,##0.00##")&amp;" "&amp;Audit!$D$95,"")</f>
        <v/>
      </c>
      <c r="H285" s="0" t="str">
        <f aca="false">IF(B285=1,"Ask the forwarder to apply the agreed rate.","")</f>
        <v/>
      </c>
      <c r="I285" s="0" t="str">
        <f aca="false">IF(B285=1,$S$43,"")</f>
        <v/>
      </c>
      <c r="J285" s="0" t="str">
        <f aca="false">IF(B285=1,D285*1000+ROW(),"")</f>
        <v/>
      </c>
      <c r="K285" s="0" t="str">
        <f aca="false">IF(AND(B285=1,C285="Question"),ROW(),"")</f>
        <v/>
      </c>
    </row>
    <row r="286" customFormat="false" ht="15" hidden="false" customHeight="false" outlineLevel="0" collapsed="false">
      <c r="A286" s="0" t="s">
        <v>556</v>
      </c>
      <c r="B286" s="0" t="n">
        <f aca="false">IFERROR(IF($X$43&lt;&gt;"",1,0),0)</f>
        <v>0</v>
      </c>
      <c r="C286" s="0" t="str">
        <f aca="false">"Question"</f>
        <v>Question</v>
      </c>
      <c r="D286" s="0" t="n">
        <f aca="false">IF(C286="Error",1,IF(C286="Question",2,3))</f>
        <v>2</v>
      </c>
      <c r="E286" s="0" t="str">
        <f aca="false">IF(B286=1,"Line 42: "&amp;$B$43,"")</f>
        <v/>
      </c>
      <c r="F286" s="0" t="str">
        <f aca="false">IF(B286=1,IF($X$43="flag",INDEX(Lists!$B$21:$B$25,MATCH($T$43,Lists!$A$21:$A$25,0)),IF($X$43="status","Status missing",IF($X$43="basis","Charging unit not stated",IF($X$43="rate","Rate missing",IF($X$43="base","Base amount not stated",IF($X$43="unclass","Charge not explained",IF($X$43="dup","Possible duplicate (same name, same service)","Charge not in the rate agreement"))))))),"")</f>
        <v/>
      </c>
      <c r="G286" s="0" t="str">
        <f aca="false">IF(B286=1,IF($X$43="flag",IF(Audit!$O$95&lt;&gt;"",Audit!$O$95,INDEX(Lists!$C$21:$C$25,MATCH($T$43,Lists!$A$21:$A$25,0))),IF($X$43="status","No status entered for this line.",IF($X$43="basis","The quotation does not say per what unit this is charged.",IF($X$43="rate","No rate entered for a firm or estimated charge.",IF($X$43="base","A percentage charge needs the amount it is calculated on.",IF($X$43="unclass","The charge does not fit a standard category or its purpose is unclear.",IF($X$43="dup","The same charge name appears more than once in the same service.","A rate agreement was provided but has no rate for this charge."))))))),"")</f>
        <v/>
      </c>
      <c r="H286" s="0" t="str">
        <f aca="false">IF(B286=1,IF($X$43="flag",INDEX(Lists!$E$21:$E$25,MATCH($T$43,Lists!$A$21:$A$25,0)),IF($X$43="status","Set the line status.",IF($X$43="basis","Ask the forwarder for the charging unit (per container, per B/L, per CBM...).",IF($X$43="rate","Enter the rate, or set the status to At cost / TBC.",IF($X$43="base","Ask the forwarder for the base amount (e.g. customs value).",IF($X$43="unclass","Ask the forwarder what this charge covers.",IF($X$43="dup","Ask whether both lines are needed; remove the duplicate.","Ask why the charge is not in the agreement; check the contract."))))))),"")</f>
        <v/>
      </c>
      <c r="I286" s="0" t="str">
        <f aca="false">IF(B286=1,IF(OR($X$43="dup",AND($X$43="flag",IFERROR(INDEX(Lists!$G$21:$G$25,MATCH($T$43,Lists!$A$21:$A$25,0)),0)=1)),IF(ISNUMBER($N$43),$N$43,""),""),"")</f>
        <v/>
      </c>
      <c r="J286" s="0" t="str">
        <f aca="false">IF(B286=1,D286*1000+ROW(),"")</f>
        <v/>
      </c>
      <c r="K286" s="0" t="str">
        <f aca="false">IF(AND(B286=1,C286="Question"),ROW(),"")</f>
        <v/>
      </c>
    </row>
    <row r="287" customFormat="false" ht="15" hidden="false" customHeight="false" outlineLevel="0" collapsed="false">
      <c r="A287" s="0" t="s">
        <v>557</v>
      </c>
      <c r="B287" s="0" t="n">
        <f aca="false">IFERROR(IF(AND($W$43=1,$D$43&lt;&gt;"Duties &amp; taxes"),1,0),0)</f>
        <v>0</v>
      </c>
      <c r="C287" s="0" t="str">
        <f aca="false">"Risk"</f>
        <v>Risk</v>
      </c>
      <c r="D287" s="0" t="n">
        <f aca="false">IF(C287="Error",1,IF(C287="Question",2,3))</f>
        <v>3</v>
      </c>
      <c r="E287" s="0" t="str">
        <f aca="false">IF(B287=1,"Line 42: "&amp;$B$43,"")</f>
        <v/>
      </c>
      <c r="F287" s="0" t="str">
        <f aca="false">IF(B287=1,IF($F$43="TBC","Amount to be confirmed","Charged at cost - amount not quoted"),"")</f>
        <v/>
      </c>
      <c r="G287" s="0" t="str">
        <f aca="false">IF(B287=1,"The final cost is unknown until invoiced.","")</f>
        <v/>
      </c>
      <c r="H287" s="0" t="str">
        <f aca="false">IF(B287=1,"Ask for an indicative amount; tell the client it may be added.","")</f>
        <v/>
      </c>
      <c r="I287" s="0" t="str">
        <f aca="false">IF(B287=1,"","")</f>
        <v/>
      </c>
      <c r="J287" s="0" t="str">
        <f aca="false">IF(B287=1,D287*1000+ROW(),"")</f>
        <v/>
      </c>
      <c r="K287" s="0" t="str">
        <f aca="false">IF(AND(B287=1,C287="Question"),ROW(),"")</f>
        <v/>
      </c>
    </row>
    <row r="288" customFormat="false" ht="15" hidden="false" customHeight="false" outlineLevel="0" collapsed="false">
      <c r="A288" s="0" t="s">
        <v>558</v>
      </c>
      <c r="B288" s="0" t="n">
        <f aca="false">IFERROR(IF(LEFT($Q$44,5)="Error",1,0),0)</f>
        <v>0</v>
      </c>
      <c r="C288" s="0" t="str">
        <f aca="false">"Error"</f>
        <v>Error</v>
      </c>
      <c r="D288" s="0" t="n">
        <f aca="false">IF(C288="Error",1,IF(C288="Question",2,3))</f>
        <v>1</v>
      </c>
      <c r="E288" s="0" t="str">
        <f aca="false">IF(B288=1,"Line 43: "&amp;$B$44,"")</f>
        <v/>
      </c>
      <c r="F288" s="0" t="str">
        <f aca="false">IF(B288=1,"Line amount does not reconcile","")</f>
        <v/>
      </c>
      <c r="G288" s="0" t="str">
        <f aca="false">IF(B288=1,"Forwarder shows "&amp;TEXT($P$44,"#,##0.00")&amp;" vs calculated "&amp;TEXT($L$44,"#,##0.00")&amp;IF($Y$44&gt;0," before tax / "&amp;TEXT($M$44,"#,##0.00")&amp;" incl. tax","")&amp;" "&amp;$I$44,"")</f>
        <v/>
      </c>
      <c r="H288" s="0" t="str">
        <f aca="false">IF(B288=1,"Ask the forwarder to correct the amount or explain the difference.","")</f>
        <v/>
      </c>
      <c r="I288" s="0" t="str">
        <f aca="false">IF(B288=1,IF(ISNUMBER($J$44),ROUND($R$44*$J$44,2),""),"")</f>
        <v/>
      </c>
      <c r="J288" s="0" t="str">
        <f aca="false">IF(B288=1,D288*1000+ROW(),"")</f>
        <v/>
      </c>
      <c r="K288" s="0" t="str">
        <f aca="false">IF(AND(B288=1,C288="Question"),ROW(),"")</f>
        <v/>
      </c>
    </row>
    <row r="289" customFormat="false" ht="15" hidden="false" customHeight="false" outlineLevel="0" collapsed="false">
      <c r="A289" s="0" t="s">
        <v>559</v>
      </c>
      <c r="B289" s="0" t="n">
        <f aca="false">IFERROR(IF($S$44&gt;0,1,0),0)</f>
        <v>0</v>
      </c>
      <c r="C289" s="0" t="str">
        <f aca="false">"Error"</f>
        <v>Error</v>
      </c>
      <c r="D289" s="0" t="n">
        <f aca="false">IF(C289="Error",1,IF(C289="Question",2,3))</f>
        <v>1</v>
      </c>
      <c r="E289" s="0" t="str">
        <f aca="false">IF(B289=1,"Line 43: "&amp;$B$44,"")</f>
        <v/>
      </c>
      <c r="F289" s="0" t="str">
        <f aca="false">IF(B289=1,"Rate above the agreed rate","")</f>
        <v/>
      </c>
      <c r="G289" s="0" t="str">
        <f aca="false">IF(B289=1,"Quoted "&amp;TEXT($H$44,"#,##0.00##")&amp;" vs agreed "&amp;TEXT(Audit!$M$96,"#,##0.00##")&amp;" "&amp;Audit!$D$96,"")</f>
        <v/>
      </c>
      <c r="H289" s="0" t="str">
        <f aca="false">IF(B289=1,"Ask the forwarder to apply the agreed rate.","")</f>
        <v/>
      </c>
      <c r="I289" s="0" t="str">
        <f aca="false">IF(B289=1,$S$44,"")</f>
        <v/>
      </c>
      <c r="J289" s="0" t="str">
        <f aca="false">IF(B289=1,D289*1000+ROW(),"")</f>
        <v/>
      </c>
      <c r="K289" s="0" t="str">
        <f aca="false">IF(AND(B289=1,C289="Question"),ROW(),"")</f>
        <v/>
      </c>
    </row>
    <row r="290" customFormat="false" ht="15" hidden="false" customHeight="false" outlineLevel="0" collapsed="false">
      <c r="A290" s="0" t="s">
        <v>560</v>
      </c>
      <c r="B290" s="0" t="n">
        <f aca="false">IFERROR(IF($X$44&lt;&gt;"",1,0),0)</f>
        <v>0</v>
      </c>
      <c r="C290" s="0" t="str">
        <f aca="false">"Question"</f>
        <v>Question</v>
      </c>
      <c r="D290" s="0" t="n">
        <f aca="false">IF(C290="Error",1,IF(C290="Question",2,3))</f>
        <v>2</v>
      </c>
      <c r="E290" s="0" t="str">
        <f aca="false">IF(B290=1,"Line 43: "&amp;$B$44,"")</f>
        <v/>
      </c>
      <c r="F290" s="0" t="str">
        <f aca="false">IF(B290=1,IF($X$44="flag",INDEX(Lists!$B$21:$B$25,MATCH($T$44,Lists!$A$21:$A$25,0)),IF($X$44="status","Status missing",IF($X$44="basis","Charging unit not stated",IF($X$44="rate","Rate missing",IF($X$44="base","Base amount not stated",IF($X$44="unclass","Charge not explained",IF($X$44="dup","Possible duplicate (same name, same service)","Charge not in the rate agreement"))))))),"")</f>
        <v/>
      </c>
      <c r="G290" s="0" t="str">
        <f aca="false">IF(B290=1,IF($X$44="flag",IF(Audit!$O$96&lt;&gt;"",Audit!$O$96,INDEX(Lists!$C$21:$C$25,MATCH($T$44,Lists!$A$21:$A$25,0))),IF($X$44="status","No status entered for this line.",IF($X$44="basis","The quotation does not say per what unit this is charged.",IF($X$44="rate","No rate entered for a firm or estimated charge.",IF($X$44="base","A percentage charge needs the amount it is calculated on.",IF($X$44="unclass","The charge does not fit a standard category or its purpose is unclear.",IF($X$44="dup","The same charge name appears more than once in the same service.","A rate agreement was provided but has no rate for this charge."))))))),"")</f>
        <v/>
      </c>
      <c r="H290" s="0" t="str">
        <f aca="false">IF(B290=1,IF($X$44="flag",INDEX(Lists!$E$21:$E$25,MATCH($T$44,Lists!$A$21:$A$25,0)),IF($X$44="status","Set the line status.",IF($X$44="basis","Ask the forwarder for the charging unit (per container, per B/L, per CBM...).",IF($X$44="rate","Enter the rate, or set the status to At cost / TBC.",IF($X$44="base","Ask the forwarder for the base amount (e.g. customs value).",IF($X$44="unclass","Ask the forwarder what this charge covers.",IF($X$44="dup","Ask whether both lines are needed; remove the duplicate.","Ask why the charge is not in the agreement; check the contract."))))))),"")</f>
        <v/>
      </c>
      <c r="I290" s="0" t="str">
        <f aca="false">IF(B290=1,IF(OR($X$44="dup",AND($X$44="flag",IFERROR(INDEX(Lists!$G$21:$G$25,MATCH($T$44,Lists!$A$21:$A$25,0)),0)=1)),IF(ISNUMBER($N$44),$N$44,""),""),"")</f>
        <v/>
      </c>
      <c r="J290" s="0" t="str">
        <f aca="false">IF(B290=1,D290*1000+ROW(),"")</f>
        <v/>
      </c>
      <c r="K290" s="0" t="str">
        <f aca="false">IF(AND(B290=1,C290="Question"),ROW(),"")</f>
        <v/>
      </c>
    </row>
    <row r="291" customFormat="false" ht="15" hidden="false" customHeight="false" outlineLevel="0" collapsed="false">
      <c r="A291" s="0" t="s">
        <v>561</v>
      </c>
      <c r="B291" s="0" t="n">
        <f aca="false">IFERROR(IF(AND($W$44=1,$D$44&lt;&gt;"Duties &amp; taxes"),1,0),0)</f>
        <v>0</v>
      </c>
      <c r="C291" s="0" t="str">
        <f aca="false">"Risk"</f>
        <v>Risk</v>
      </c>
      <c r="D291" s="0" t="n">
        <f aca="false">IF(C291="Error",1,IF(C291="Question",2,3))</f>
        <v>3</v>
      </c>
      <c r="E291" s="0" t="str">
        <f aca="false">IF(B291=1,"Line 43: "&amp;$B$44,"")</f>
        <v/>
      </c>
      <c r="F291" s="0" t="str">
        <f aca="false">IF(B291=1,IF($F$44="TBC","Amount to be confirmed","Charged at cost - amount not quoted"),"")</f>
        <v/>
      </c>
      <c r="G291" s="0" t="str">
        <f aca="false">IF(B291=1,"The final cost is unknown until invoiced.","")</f>
        <v/>
      </c>
      <c r="H291" s="0" t="str">
        <f aca="false">IF(B291=1,"Ask for an indicative amount; tell the client it may be added.","")</f>
        <v/>
      </c>
      <c r="I291" s="0" t="str">
        <f aca="false">IF(B291=1,"","")</f>
        <v/>
      </c>
      <c r="J291" s="0" t="str">
        <f aca="false">IF(B291=1,D291*1000+ROW(),"")</f>
        <v/>
      </c>
      <c r="K291" s="0" t="str">
        <f aca="false">IF(AND(B291=1,C291="Question"),ROW(),"")</f>
        <v/>
      </c>
    </row>
    <row r="292" customFormat="false" ht="15" hidden="false" customHeight="false" outlineLevel="0" collapsed="false">
      <c r="A292" s="0" t="s">
        <v>562</v>
      </c>
      <c r="B292" s="0" t="n">
        <f aca="false">IFERROR(IF(LEFT($Q$45,5)="Error",1,0),0)</f>
        <v>0</v>
      </c>
      <c r="C292" s="0" t="str">
        <f aca="false">"Error"</f>
        <v>Error</v>
      </c>
      <c r="D292" s="0" t="n">
        <f aca="false">IF(C292="Error",1,IF(C292="Question",2,3))</f>
        <v>1</v>
      </c>
      <c r="E292" s="0" t="str">
        <f aca="false">IF(B292=1,"Line 44: "&amp;$B$45,"")</f>
        <v/>
      </c>
      <c r="F292" s="0" t="str">
        <f aca="false">IF(B292=1,"Line amount does not reconcile","")</f>
        <v/>
      </c>
      <c r="G292" s="0" t="str">
        <f aca="false">IF(B292=1,"Forwarder shows "&amp;TEXT($P$45,"#,##0.00")&amp;" vs calculated "&amp;TEXT($L$45,"#,##0.00")&amp;IF($Y$45&gt;0," before tax / "&amp;TEXT($M$45,"#,##0.00")&amp;" incl. tax","")&amp;" "&amp;$I$45,"")</f>
        <v/>
      </c>
      <c r="H292" s="0" t="str">
        <f aca="false">IF(B292=1,"Ask the forwarder to correct the amount or explain the difference.","")</f>
        <v/>
      </c>
      <c r="I292" s="0" t="str">
        <f aca="false">IF(B292=1,IF(ISNUMBER($J$45),ROUND($R$45*$J$45,2),""),"")</f>
        <v/>
      </c>
      <c r="J292" s="0" t="str">
        <f aca="false">IF(B292=1,D292*1000+ROW(),"")</f>
        <v/>
      </c>
      <c r="K292" s="0" t="str">
        <f aca="false">IF(AND(B292=1,C292="Question"),ROW(),"")</f>
        <v/>
      </c>
    </row>
    <row r="293" customFormat="false" ht="15" hidden="false" customHeight="false" outlineLevel="0" collapsed="false">
      <c r="A293" s="0" t="s">
        <v>563</v>
      </c>
      <c r="B293" s="0" t="n">
        <f aca="false">IFERROR(IF($S$45&gt;0,1,0),0)</f>
        <v>0</v>
      </c>
      <c r="C293" s="0" t="str">
        <f aca="false">"Error"</f>
        <v>Error</v>
      </c>
      <c r="D293" s="0" t="n">
        <f aca="false">IF(C293="Error",1,IF(C293="Question",2,3))</f>
        <v>1</v>
      </c>
      <c r="E293" s="0" t="str">
        <f aca="false">IF(B293=1,"Line 44: "&amp;$B$45,"")</f>
        <v/>
      </c>
      <c r="F293" s="0" t="str">
        <f aca="false">IF(B293=1,"Rate above the agreed rate","")</f>
        <v/>
      </c>
      <c r="G293" s="0" t="str">
        <f aca="false">IF(B293=1,"Quoted "&amp;TEXT($H$45,"#,##0.00##")&amp;" vs agreed "&amp;TEXT(Audit!$M$97,"#,##0.00##")&amp;" "&amp;Audit!$D$97,"")</f>
        <v/>
      </c>
      <c r="H293" s="0" t="str">
        <f aca="false">IF(B293=1,"Ask the forwarder to apply the agreed rate.","")</f>
        <v/>
      </c>
      <c r="I293" s="0" t="str">
        <f aca="false">IF(B293=1,$S$45,"")</f>
        <v/>
      </c>
      <c r="J293" s="0" t="str">
        <f aca="false">IF(B293=1,D293*1000+ROW(),"")</f>
        <v/>
      </c>
      <c r="K293" s="0" t="str">
        <f aca="false">IF(AND(B293=1,C293="Question"),ROW(),"")</f>
        <v/>
      </c>
    </row>
    <row r="294" customFormat="false" ht="15" hidden="false" customHeight="false" outlineLevel="0" collapsed="false">
      <c r="A294" s="0" t="s">
        <v>564</v>
      </c>
      <c r="B294" s="0" t="n">
        <f aca="false">IFERROR(IF($X$45&lt;&gt;"",1,0),0)</f>
        <v>0</v>
      </c>
      <c r="C294" s="0" t="str">
        <f aca="false">"Question"</f>
        <v>Question</v>
      </c>
      <c r="D294" s="0" t="n">
        <f aca="false">IF(C294="Error",1,IF(C294="Question",2,3))</f>
        <v>2</v>
      </c>
      <c r="E294" s="0" t="str">
        <f aca="false">IF(B294=1,"Line 44: "&amp;$B$45,"")</f>
        <v/>
      </c>
      <c r="F294" s="0" t="str">
        <f aca="false">IF(B294=1,IF($X$45="flag",INDEX(Lists!$B$21:$B$25,MATCH($T$45,Lists!$A$21:$A$25,0)),IF($X$45="status","Status missing",IF($X$45="basis","Charging unit not stated",IF($X$45="rate","Rate missing",IF($X$45="base","Base amount not stated",IF($X$45="unclass","Charge not explained",IF($X$45="dup","Possible duplicate (same name, same service)","Charge not in the rate agreement"))))))),"")</f>
        <v/>
      </c>
      <c r="G294" s="0" t="str">
        <f aca="false">IF(B294=1,IF($X$45="flag",IF(Audit!$O$97&lt;&gt;"",Audit!$O$97,INDEX(Lists!$C$21:$C$25,MATCH($T$45,Lists!$A$21:$A$25,0))),IF($X$45="status","No status entered for this line.",IF($X$45="basis","The quotation does not say per what unit this is charged.",IF($X$45="rate","No rate entered for a firm or estimated charge.",IF($X$45="base","A percentage charge needs the amount it is calculated on.",IF($X$45="unclass","The charge does not fit a standard category or its purpose is unclear.",IF($X$45="dup","The same charge name appears more than once in the same service.","A rate agreement was provided but has no rate for this charge."))))))),"")</f>
        <v/>
      </c>
      <c r="H294" s="0" t="str">
        <f aca="false">IF(B294=1,IF($X$45="flag",INDEX(Lists!$E$21:$E$25,MATCH($T$45,Lists!$A$21:$A$25,0)),IF($X$45="status","Set the line status.",IF($X$45="basis","Ask the forwarder for the charging unit (per container, per B/L, per CBM...).",IF($X$45="rate","Enter the rate, or set the status to At cost / TBC.",IF($X$45="base","Ask the forwarder for the base amount (e.g. customs value).",IF($X$45="unclass","Ask the forwarder what this charge covers.",IF($X$45="dup","Ask whether both lines are needed; remove the duplicate.","Ask why the charge is not in the agreement; check the contract."))))))),"")</f>
        <v/>
      </c>
      <c r="I294" s="0" t="str">
        <f aca="false">IF(B294=1,IF(OR($X$45="dup",AND($X$45="flag",IFERROR(INDEX(Lists!$G$21:$G$25,MATCH($T$45,Lists!$A$21:$A$25,0)),0)=1)),IF(ISNUMBER($N$45),$N$45,""),""),"")</f>
        <v/>
      </c>
      <c r="J294" s="0" t="str">
        <f aca="false">IF(B294=1,D294*1000+ROW(),"")</f>
        <v/>
      </c>
      <c r="K294" s="0" t="str">
        <f aca="false">IF(AND(B294=1,C294="Question"),ROW(),"")</f>
        <v/>
      </c>
    </row>
    <row r="295" customFormat="false" ht="15" hidden="false" customHeight="false" outlineLevel="0" collapsed="false">
      <c r="A295" s="0" t="s">
        <v>565</v>
      </c>
      <c r="B295" s="0" t="n">
        <f aca="false">IFERROR(IF(AND($W$45=1,$D$45&lt;&gt;"Duties &amp; taxes"),1,0),0)</f>
        <v>0</v>
      </c>
      <c r="C295" s="0" t="str">
        <f aca="false">"Risk"</f>
        <v>Risk</v>
      </c>
      <c r="D295" s="0" t="n">
        <f aca="false">IF(C295="Error",1,IF(C295="Question",2,3))</f>
        <v>3</v>
      </c>
      <c r="E295" s="0" t="str">
        <f aca="false">IF(B295=1,"Line 44: "&amp;$B$45,"")</f>
        <v/>
      </c>
      <c r="F295" s="0" t="str">
        <f aca="false">IF(B295=1,IF($F$45="TBC","Amount to be confirmed","Charged at cost - amount not quoted"),"")</f>
        <v/>
      </c>
      <c r="G295" s="0" t="str">
        <f aca="false">IF(B295=1,"The final cost is unknown until invoiced.","")</f>
        <v/>
      </c>
      <c r="H295" s="0" t="str">
        <f aca="false">IF(B295=1,"Ask for an indicative amount; tell the client it may be added.","")</f>
        <v/>
      </c>
      <c r="I295" s="0" t="str">
        <f aca="false">IF(B295=1,"","")</f>
        <v/>
      </c>
      <c r="J295" s="0" t="str">
        <f aca="false">IF(B295=1,D295*1000+ROW(),"")</f>
        <v/>
      </c>
      <c r="K295" s="0" t="str">
        <f aca="false">IF(AND(B295=1,C295="Question"),ROW(),"")</f>
        <v/>
      </c>
    </row>
    <row r="296" customFormat="false" ht="15" hidden="false" customHeight="false" outlineLevel="0" collapsed="false">
      <c r="A296" s="0" t="s">
        <v>566</v>
      </c>
      <c r="B296" s="0" t="n">
        <f aca="false">IFERROR(IF(LEFT($Q$46,5)="Error",1,0),0)</f>
        <v>0</v>
      </c>
      <c r="C296" s="0" t="str">
        <f aca="false">"Error"</f>
        <v>Error</v>
      </c>
      <c r="D296" s="0" t="n">
        <f aca="false">IF(C296="Error",1,IF(C296="Question",2,3))</f>
        <v>1</v>
      </c>
      <c r="E296" s="0" t="str">
        <f aca="false">IF(B296=1,"Line 45: "&amp;$B$46,"")</f>
        <v/>
      </c>
      <c r="F296" s="0" t="str">
        <f aca="false">IF(B296=1,"Line amount does not reconcile","")</f>
        <v/>
      </c>
      <c r="G296" s="0" t="str">
        <f aca="false">IF(B296=1,"Forwarder shows "&amp;TEXT($P$46,"#,##0.00")&amp;" vs calculated "&amp;TEXT($L$46,"#,##0.00")&amp;IF($Y$46&gt;0," before tax / "&amp;TEXT($M$46,"#,##0.00")&amp;" incl. tax","")&amp;" "&amp;$I$46,"")</f>
        <v/>
      </c>
      <c r="H296" s="0" t="str">
        <f aca="false">IF(B296=1,"Ask the forwarder to correct the amount or explain the difference.","")</f>
        <v/>
      </c>
      <c r="I296" s="0" t="str">
        <f aca="false">IF(B296=1,IF(ISNUMBER($J$46),ROUND($R$46*$J$46,2),""),"")</f>
        <v/>
      </c>
      <c r="J296" s="0" t="str">
        <f aca="false">IF(B296=1,D296*1000+ROW(),"")</f>
        <v/>
      </c>
      <c r="K296" s="0" t="str">
        <f aca="false">IF(AND(B296=1,C296="Question"),ROW(),"")</f>
        <v/>
      </c>
    </row>
    <row r="297" customFormat="false" ht="15" hidden="false" customHeight="false" outlineLevel="0" collapsed="false">
      <c r="A297" s="0" t="s">
        <v>567</v>
      </c>
      <c r="B297" s="0" t="n">
        <f aca="false">IFERROR(IF($S$46&gt;0,1,0),0)</f>
        <v>0</v>
      </c>
      <c r="C297" s="0" t="str">
        <f aca="false">"Error"</f>
        <v>Error</v>
      </c>
      <c r="D297" s="0" t="n">
        <f aca="false">IF(C297="Error",1,IF(C297="Question",2,3))</f>
        <v>1</v>
      </c>
      <c r="E297" s="0" t="str">
        <f aca="false">IF(B297=1,"Line 45: "&amp;$B$46,"")</f>
        <v/>
      </c>
      <c r="F297" s="0" t="str">
        <f aca="false">IF(B297=1,"Rate above the agreed rate","")</f>
        <v/>
      </c>
      <c r="G297" s="0" t="str">
        <f aca="false">IF(B297=1,"Quoted "&amp;TEXT($H$46,"#,##0.00##")&amp;" vs agreed "&amp;TEXT(Audit!$M$98,"#,##0.00##")&amp;" "&amp;Audit!$D$98,"")</f>
        <v/>
      </c>
      <c r="H297" s="0" t="str">
        <f aca="false">IF(B297=1,"Ask the forwarder to apply the agreed rate.","")</f>
        <v/>
      </c>
      <c r="I297" s="0" t="str">
        <f aca="false">IF(B297=1,$S$46,"")</f>
        <v/>
      </c>
      <c r="J297" s="0" t="str">
        <f aca="false">IF(B297=1,D297*1000+ROW(),"")</f>
        <v/>
      </c>
      <c r="K297" s="0" t="str">
        <f aca="false">IF(AND(B297=1,C297="Question"),ROW(),"")</f>
        <v/>
      </c>
    </row>
    <row r="298" customFormat="false" ht="15" hidden="false" customHeight="false" outlineLevel="0" collapsed="false">
      <c r="A298" s="0" t="s">
        <v>568</v>
      </c>
      <c r="B298" s="0" t="n">
        <f aca="false">IFERROR(IF($X$46&lt;&gt;"",1,0),0)</f>
        <v>0</v>
      </c>
      <c r="C298" s="0" t="str">
        <f aca="false">"Question"</f>
        <v>Question</v>
      </c>
      <c r="D298" s="0" t="n">
        <f aca="false">IF(C298="Error",1,IF(C298="Question",2,3))</f>
        <v>2</v>
      </c>
      <c r="E298" s="0" t="str">
        <f aca="false">IF(B298=1,"Line 45: "&amp;$B$46,"")</f>
        <v/>
      </c>
      <c r="F298" s="0" t="str">
        <f aca="false">IF(B298=1,IF($X$46="flag",INDEX(Lists!$B$21:$B$25,MATCH($T$46,Lists!$A$21:$A$25,0)),IF($X$46="status","Status missing",IF($X$46="basis","Charging unit not stated",IF($X$46="rate","Rate missing",IF($X$46="base","Base amount not stated",IF($X$46="unclass","Charge not explained",IF($X$46="dup","Possible duplicate (same name, same service)","Charge not in the rate agreement"))))))),"")</f>
        <v/>
      </c>
      <c r="G298" s="0" t="str">
        <f aca="false">IF(B298=1,IF($X$46="flag",IF(Audit!$O$98&lt;&gt;"",Audit!$O$98,INDEX(Lists!$C$21:$C$25,MATCH($T$46,Lists!$A$21:$A$25,0))),IF($X$46="status","No status entered for this line.",IF($X$46="basis","The quotation does not say per what unit this is charged.",IF($X$46="rate","No rate entered for a firm or estimated charge.",IF($X$46="base","A percentage charge needs the amount it is calculated on.",IF($X$46="unclass","The charge does not fit a standard category or its purpose is unclear.",IF($X$46="dup","The same charge name appears more than once in the same service.","A rate agreement was provided but has no rate for this charge."))))))),"")</f>
        <v/>
      </c>
      <c r="H298" s="0" t="str">
        <f aca="false">IF(B298=1,IF($X$46="flag",INDEX(Lists!$E$21:$E$25,MATCH($T$46,Lists!$A$21:$A$25,0)),IF($X$46="status","Set the line status.",IF($X$46="basis","Ask the forwarder for the charging unit (per container, per B/L, per CBM...).",IF($X$46="rate","Enter the rate, or set the status to At cost / TBC.",IF($X$46="base","Ask the forwarder for the base amount (e.g. customs value).",IF($X$46="unclass","Ask the forwarder what this charge covers.",IF($X$46="dup","Ask whether both lines are needed; remove the duplicate.","Ask why the charge is not in the agreement; check the contract."))))))),"")</f>
        <v/>
      </c>
      <c r="I298" s="0" t="str">
        <f aca="false">IF(B298=1,IF(OR($X$46="dup",AND($X$46="flag",IFERROR(INDEX(Lists!$G$21:$G$25,MATCH($T$46,Lists!$A$21:$A$25,0)),0)=1)),IF(ISNUMBER($N$46),$N$46,""),""),"")</f>
        <v/>
      </c>
      <c r="J298" s="0" t="str">
        <f aca="false">IF(B298=1,D298*1000+ROW(),"")</f>
        <v/>
      </c>
      <c r="K298" s="0" t="str">
        <f aca="false">IF(AND(B298=1,C298="Question"),ROW(),"")</f>
        <v/>
      </c>
    </row>
    <row r="299" customFormat="false" ht="15" hidden="false" customHeight="false" outlineLevel="0" collapsed="false">
      <c r="A299" s="0" t="s">
        <v>569</v>
      </c>
      <c r="B299" s="0" t="n">
        <f aca="false">IFERROR(IF(AND($W$46=1,$D$46&lt;&gt;"Duties &amp; taxes"),1,0),0)</f>
        <v>0</v>
      </c>
      <c r="C299" s="0" t="str">
        <f aca="false">"Risk"</f>
        <v>Risk</v>
      </c>
      <c r="D299" s="0" t="n">
        <f aca="false">IF(C299="Error",1,IF(C299="Question",2,3))</f>
        <v>3</v>
      </c>
      <c r="E299" s="0" t="str">
        <f aca="false">IF(B299=1,"Line 45: "&amp;$B$46,"")</f>
        <v/>
      </c>
      <c r="F299" s="0" t="str">
        <f aca="false">IF(B299=1,IF($F$46="TBC","Amount to be confirmed","Charged at cost - amount not quoted"),"")</f>
        <v/>
      </c>
      <c r="G299" s="0" t="str">
        <f aca="false">IF(B299=1,"The final cost is unknown until invoiced.","")</f>
        <v/>
      </c>
      <c r="H299" s="0" t="str">
        <f aca="false">IF(B299=1,"Ask for an indicative amount; tell the client it may be added.","")</f>
        <v/>
      </c>
      <c r="I299" s="0" t="str">
        <f aca="false">IF(B299=1,"","")</f>
        <v/>
      </c>
      <c r="J299" s="0" t="str">
        <f aca="false">IF(B299=1,D299*1000+ROW(),"")</f>
        <v/>
      </c>
      <c r="K299" s="0" t="str">
        <f aca="false">IF(AND(B299=1,C299="Question"),ROW(),"")</f>
        <v/>
      </c>
    </row>
    <row r="300" customFormat="false" ht="15" hidden="false" customHeight="false" outlineLevel="0" collapsed="false">
      <c r="A300" s="0" t="s">
        <v>570</v>
      </c>
      <c r="B300" s="0" t="n">
        <f aca="false">IFERROR(IF(LEFT($Q$47,5)="Error",1,0),0)</f>
        <v>0</v>
      </c>
      <c r="C300" s="0" t="str">
        <f aca="false">"Error"</f>
        <v>Error</v>
      </c>
      <c r="D300" s="0" t="n">
        <f aca="false">IF(C300="Error",1,IF(C300="Question",2,3))</f>
        <v>1</v>
      </c>
      <c r="E300" s="0" t="str">
        <f aca="false">IF(B300=1,"Line 46: "&amp;$B$47,"")</f>
        <v/>
      </c>
      <c r="F300" s="0" t="str">
        <f aca="false">IF(B300=1,"Line amount does not reconcile","")</f>
        <v/>
      </c>
      <c r="G300" s="0" t="str">
        <f aca="false">IF(B300=1,"Forwarder shows "&amp;TEXT($P$47,"#,##0.00")&amp;" vs calculated "&amp;TEXT($L$47,"#,##0.00")&amp;IF($Y$47&gt;0," before tax / "&amp;TEXT($M$47,"#,##0.00")&amp;" incl. tax","")&amp;" "&amp;$I$47,"")</f>
        <v/>
      </c>
      <c r="H300" s="0" t="str">
        <f aca="false">IF(B300=1,"Ask the forwarder to correct the amount or explain the difference.","")</f>
        <v/>
      </c>
      <c r="I300" s="0" t="str">
        <f aca="false">IF(B300=1,IF(ISNUMBER($J$47),ROUND($R$47*$J$47,2),""),"")</f>
        <v/>
      </c>
      <c r="J300" s="0" t="str">
        <f aca="false">IF(B300=1,D300*1000+ROW(),"")</f>
        <v/>
      </c>
      <c r="K300" s="0" t="str">
        <f aca="false">IF(AND(B300=1,C300="Question"),ROW(),"")</f>
        <v/>
      </c>
    </row>
    <row r="301" customFormat="false" ht="15" hidden="false" customHeight="false" outlineLevel="0" collapsed="false">
      <c r="A301" s="0" t="s">
        <v>571</v>
      </c>
      <c r="B301" s="0" t="n">
        <f aca="false">IFERROR(IF($S$47&gt;0,1,0),0)</f>
        <v>0</v>
      </c>
      <c r="C301" s="0" t="str">
        <f aca="false">"Error"</f>
        <v>Error</v>
      </c>
      <c r="D301" s="0" t="n">
        <f aca="false">IF(C301="Error",1,IF(C301="Question",2,3))</f>
        <v>1</v>
      </c>
      <c r="E301" s="0" t="str">
        <f aca="false">IF(B301=1,"Line 46: "&amp;$B$47,"")</f>
        <v/>
      </c>
      <c r="F301" s="0" t="str">
        <f aca="false">IF(B301=1,"Rate above the agreed rate","")</f>
        <v/>
      </c>
      <c r="G301" s="0" t="str">
        <f aca="false">IF(B301=1,"Quoted "&amp;TEXT($H$47,"#,##0.00##")&amp;" vs agreed "&amp;TEXT(Audit!$M$99,"#,##0.00##")&amp;" "&amp;Audit!$D$99,"")</f>
        <v/>
      </c>
      <c r="H301" s="0" t="str">
        <f aca="false">IF(B301=1,"Ask the forwarder to apply the agreed rate.","")</f>
        <v/>
      </c>
      <c r="I301" s="0" t="str">
        <f aca="false">IF(B301=1,$S$47,"")</f>
        <v/>
      </c>
      <c r="J301" s="0" t="str">
        <f aca="false">IF(B301=1,D301*1000+ROW(),"")</f>
        <v/>
      </c>
      <c r="K301" s="0" t="str">
        <f aca="false">IF(AND(B301=1,C301="Question"),ROW(),"")</f>
        <v/>
      </c>
    </row>
    <row r="302" customFormat="false" ht="15" hidden="false" customHeight="false" outlineLevel="0" collapsed="false">
      <c r="A302" s="0" t="s">
        <v>572</v>
      </c>
      <c r="B302" s="0" t="n">
        <f aca="false">IFERROR(IF($X$47&lt;&gt;"",1,0),0)</f>
        <v>0</v>
      </c>
      <c r="C302" s="0" t="str">
        <f aca="false">"Question"</f>
        <v>Question</v>
      </c>
      <c r="D302" s="0" t="n">
        <f aca="false">IF(C302="Error",1,IF(C302="Question",2,3))</f>
        <v>2</v>
      </c>
      <c r="E302" s="0" t="str">
        <f aca="false">IF(B302=1,"Line 46: "&amp;$B$47,"")</f>
        <v/>
      </c>
      <c r="F302" s="0" t="str">
        <f aca="false">IF(B302=1,IF($X$47="flag",INDEX(Lists!$B$21:$B$25,MATCH($T$47,Lists!$A$21:$A$25,0)),IF($X$47="status","Status missing",IF($X$47="basis","Charging unit not stated",IF($X$47="rate","Rate missing",IF($X$47="base","Base amount not stated",IF($X$47="unclass","Charge not explained",IF($X$47="dup","Possible duplicate (same name, same service)","Charge not in the rate agreement"))))))),"")</f>
        <v/>
      </c>
      <c r="G302" s="0" t="str">
        <f aca="false">IF(B302=1,IF($X$47="flag",IF(Audit!$O$99&lt;&gt;"",Audit!$O$99,INDEX(Lists!$C$21:$C$25,MATCH($T$47,Lists!$A$21:$A$25,0))),IF($X$47="status","No status entered for this line.",IF($X$47="basis","The quotation does not say per what unit this is charged.",IF($X$47="rate","No rate entered for a firm or estimated charge.",IF($X$47="base","A percentage charge needs the amount it is calculated on.",IF($X$47="unclass","The charge does not fit a standard category or its purpose is unclear.",IF($X$47="dup","The same charge name appears more than once in the same service.","A rate agreement was provided but has no rate for this charge."))))))),"")</f>
        <v/>
      </c>
      <c r="H302" s="0" t="str">
        <f aca="false">IF(B302=1,IF($X$47="flag",INDEX(Lists!$E$21:$E$25,MATCH($T$47,Lists!$A$21:$A$25,0)),IF($X$47="status","Set the line status.",IF($X$47="basis","Ask the forwarder for the charging unit (per container, per B/L, per CBM...).",IF($X$47="rate","Enter the rate, or set the status to At cost / TBC.",IF($X$47="base","Ask the forwarder for the base amount (e.g. customs value).",IF($X$47="unclass","Ask the forwarder what this charge covers.",IF($X$47="dup","Ask whether both lines are needed; remove the duplicate.","Ask why the charge is not in the agreement; check the contract."))))))),"")</f>
        <v/>
      </c>
      <c r="I302" s="0" t="str">
        <f aca="false">IF(B302=1,IF(OR($X$47="dup",AND($X$47="flag",IFERROR(INDEX(Lists!$G$21:$G$25,MATCH($T$47,Lists!$A$21:$A$25,0)),0)=1)),IF(ISNUMBER($N$47),$N$47,""),""),"")</f>
        <v/>
      </c>
      <c r="J302" s="0" t="str">
        <f aca="false">IF(B302=1,D302*1000+ROW(),"")</f>
        <v/>
      </c>
      <c r="K302" s="0" t="str">
        <f aca="false">IF(AND(B302=1,C302="Question"),ROW(),"")</f>
        <v/>
      </c>
    </row>
    <row r="303" customFormat="false" ht="15" hidden="false" customHeight="false" outlineLevel="0" collapsed="false">
      <c r="A303" s="0" t="s">
        <v>573</v>
      </c>
      <c r="B303" s="0" t="n">
        <f aca="false">IFERROR(IF(AND($W$47=1,$D$47&lt;&gt;"Duties &amp; taxes"),1,0),0)</f>
        <v>0</v>
      </c>
      <c r="C303" s="0" t="str">
        <f aca="false">"Risk"</f>
        <v>Risk</v>
      </c>
      <c r="D303" s="0" t="n">
        <f aca="false">IF(C303="Error",1,IF(C303="Question",2,3))</f>
        <v>3</v>
      </c>
      <c r="E303" s="0" t="str">
        <f aca="false">IF(B303=1,"Line 46: "&amp;$B$47,"")</f>
        <v/>
      </c>
      <c r="F303" s="0" t="str">
        <f aca="false">IF(B303=1,IF($F$47="TBC","Amount to be confirmed","Charged at cost - amount not quoted"),"")</f>
        <v/>
      </c>
      <c r="G303" s="0" t="str">
        <f aca="false">IF(B303=1,"The final cost is unknown until invoiced.","")</f>
        <v/>
      </c>
      <c r="H303" s="0" t="str">
        <f aca="false">IF(B303=1,"Ask for an indicative amount; tell the client it may be added.","")</f>
        <v/>
      </c>
      <c r="I303" s="0" t="str">
        <f aca="false">IF(B303=1,"","")</f>
        <v/>
      </c>
      <c r="J303" s="0" t="str">
        <f aca="false">IF(B303=1,D303*1000+ROW(),"")</f>
        <v/>
      </c>
      <c r="K303" s="0" t="str">
        <f aca="false">IF(AND(B303=1,C303="Question"),ROW(),"")</f>
        <v/>
      </c>
    </row>
    <row r="304" customFormat="false" ht="15" hidden="false" customHeight="false" outlineLevel="0" collapsed="false">
      <c r="A304" s="0" t="s">
        <v>574</v>
      </c>
      <c r="B304" s="0" t="n">
        <f aca="false">IFERROR(IF(LEFT($Q$48,5)="Error",1,0),0)</f>
        <v>0</v>
      </c>
      <c r="C304" s="0" t="str">
        <f aca="false">"Error"</f>
        <v>Error</v>
      </c>
      <c r="D304" s="0" t="n">
        <f aca="false">IF(C304="Error",1,IF(C304="Question",2,3))</f>
        <v>1</v>
      </c>
      <c r="E304" s="0" t="str">
        <f aca="false">IF(B304=1,"Line 47: "&amp;$B$48,"")</f>
        <v/>
      </c>
      <c r="F304" s="0" t="str">
        <f aca="false">IF(B304=1,"Line amount does not reconcile","")</f>
        <v/>
      </c>
      <c r="G304" s="0" t="str">
        <f aca="false">IF(B304=1,"Forwarder shows "&amp;TEXT($P$48,"#,##0.00")&amp;" vs calculated "&amp;TEXT($L$48,"#,##0.00")&amp;IF($Y$48&gt;0," before tax / "&amp;TEXT($M$48,"#,##0.00")&amp;" incl. tax","")&amp;" "&amp;$I$48,"")</f>
        <v/>
      </c>
      <c r="H304" s="0" t="str">
        <f aca="false">IF(B304=1,"Ask the forwarder to correct the amount or explain the difference.","")</f>
        <v/>
      </c>
      <c r="I304" s="0" t="str">
        <f aca="false">IF(B304=1,IF(ISNUMBER($J$48),ROUND($R$48*$J$48,2),""),"")</f>
        <v/>
      </c>
      <c r="J304" s="0" t="str">
        <f aca="false">IF(B304=1,D304*1000+ROW(),"")</f>
        <v/>
      </c>
      <c r="K304" s="0" t="str">
        <f aca="false">IF(AND(B304=1,C304="Question"),ROW(),"")</f>
        <v/>
      </c>
    </row>
    <row r="305" customFormat="false" ht="15" hidden="false" customHeight="false" outlineLevel="0" collapsed="false">
      <c r="A305" s="0" t="s">
        <v>575</v>
      </c>
      <c r="B305" s="0" t="n">
        <f aca="false">IFERROR(IF($S$48&gt;0,1,0),0)</f>
        <v>0</v>
      </c>
      <c r="C305" s="0" t="str">
        <f aca="false">"Error"</f>
        <v>Error</v>
      </c>
      <c r="D305" s="0" t="n">
        <f aca="false">IF(C305="Error",1,IF(C305="Question",2,3))</f>
        <v>1</v>
      </c>
      <c r="E305" s="0" t="str">
        <f aca="false">IF(B305=1,"Line 47: "&amp;$B$48,"")</f>
        <v/>
      </c>
      <c r="F305" s="0" t="str">
        <f aca="false">IF(B305=1,"Rate above the agreed rate","")</f>
        <v/>
      </c>
      <c r="G305" s="0" t="str">
        <f aca="false">IF(B305=1,"Quoted "&amp;TEXT($H$48,"#,##0.00##")&amp;" vs agreed "&amp;TEXT(Audit!$M$100,"#,##0.00##")&amp;" "&amp;Audit!$D$100,"")</f>
        <v/>
      </c>
      <c r="H305" s="0" t="str">
        <f aca="false">IF(B305=1,"Ask the forwarder to apply the agreed rate.","")</f>
        <v/>
      </c>
      <c r="I305" s="0" t="str">
        <f aca="false">IF(B305=1,$S$48,"")</f>
        <v/>
      </c>
      <c r="J305" s="0" t="str">
        <f aca="false">IF(B305=1,D305*1000+ROW(),"")</f>
        <v/>
      </c>
      <c r="K305" s="0" t="str">
        <f aca="false">IF(AND(B305=1,C305="Question"),ROW(),"")</f>
        <v/>
      </c>
    </row>
    <row r="306" customFormat="false" ht="15" hidden="false" customHeight="false" outlineLevel="0" collapsed="false">
      <c r="A306" s="0" t="s">
        <v>576</v>
      </c>
      <c r="B306" s="0" t="n">
        <f aca="false">IFERROR(IF($X$48&lt;&gt;"",1,0),0)</f>
        <v>0</v>
      </c>
      <c r="C306" s="0" t="str">
        <f aca="false">"Question"</f>
        <v>Question</v>
      </c>
      <c r="D306" s="0" t="n">
        <f aca="false">IF(C306="Error",1,IF(C306="Question",2,3))</f>
        <v>2</v>
      </c>
      <c r="E306" s="0" t="str">
        <f aca="false">IF(B306=1,"Line 47: "&amp;$B$48,"")</f>
        <v/>
      </c>
      <c r="F306" s="0" t="str">
        <f aca="false">IF(B306=1,IF($X$48="flag",INDEX(Lists!$B$21:$B$25,MATCH($T$48,Lists!$A$21:$A$25,0)),IF($X$48="status","Status missing",IF($X$48="basis","Charging unit not stated",IF($X$48="rate","Rate missing",IF($X$48="base","Base amount not stated",IF($X$48="unclass","Charge not explained",IF($X$48="dup","Possible duplicate (same name, same service)","Charge not in the rate agreement"))))))),"")</f>
        <v/>
      </c>
      <c r="G306" s="0" t="str">
        <f aca="false">IF(B306=1,IF($X$48="flag",IF(Audit!$O$100&lt;&gt;"",Audit!$O$100,INDEX(Lists!$C$21:$C$25,MATCH($T$48,Lists!$A$21:$A$25,0))),IF($X$48="status","No status entered for this line.",IF($X$48="basis","The quotation does not say per what unit this is charged.",IF($X$48="rate","No rate entered for a firm or estimated charge.",IF($X$48="base","A percentage charge needs the amount it is calculated on.",IF($X$48="unclass","The charge does not fit a standard category or its purpose is unclear.",IF($X$48="dup","The same charge name appears more than once in the same service.","A rate agreement was provided but has no rate for this charge."))))))),"")</f>
        <v/>
      </c>
      <c r="H306" s="0" t="str">
        <f aca="false">IF(B306=1,IF($X$48="flag",INDEX(Lists!$E$21:$E$25,MATCH($T$48,Lists!$A$21:$A$25,0)),IF($X$48="status","Set the line status.",IF($X$48="basis","Ask the forwarder for the charging unit (per container, per B/L, per CBM...).",IF($X$48="rate","Enter the rate, or set the status to At cost / TBC.",IF($X$48="base","Ask the forwarder for the base amount (e.g. customs value).",IF($X$48="unclass","Ask the forwarder what this charge covers.",IF($X$48="dup","Ask whether both lines are needed; remove the duplicate.","Ask why the charge is not in the agreement; check the contract."))))))),"")</f>
        <v/>
      </c>
      <c r="I306" s="0" t="str">
        <f aca="false">IF(B306=1,IF(OR($X$48="dup",AND($X$48="flag",IFERROR(INDEX(Lists!$G$21:$G$25,MATCH($T$48,Lists!$A$21:$A$25,0)),0)=1)),IF(ISNUMBER($N$48),$N$48,""),""),"")</f>
        <v/>
      </c>
      <c r="J306" s="0" t="str">
        <f aca="false">IF(B306=1,D306*1000+ROW(),"")</f>
        <v/>
      </c>
      <c r="K306" s="0" t="str">
        <f aca="false">IF(AND(B306=1,C306="Question"),ROW(),"")</f>
        <v/>
      </c>
    </row>
    <row r="307" customFormat="false" ht="15" hidden="false" customHeight="false" outlineLevel="0" collapsed="false">
      <c r="A307" s="0" t="s">
        <v>577</v>
      </c>
      <c r="B307" s="0" t="n">
        <f aca="false">IFERROR(IF(AND($W$48=1,$D$48&lt;&gt;"Duties &amp; taxes"),1,0),0)</f>
        <v>0</v>
      </c>
      <c r="C307" s="0" t="str">
        <f aca="false">"Risk"</f>
        <v>Risk</v>
      </c>
      <c r="D307" s="0" t="n">
        <f aca="false">IF(C307="Error",1,IF(C307="Question",2,3))</f>
        <v>3</v>
      </c>
      <c r="E307" s="0" t="str">
        <f aca="false">IF(B307=1,"Line 47: "&amp;$B$48,"")</f>
        <v/>
      </c>
      <c r="F307" s="0" t="str">
        <f aca="false">IF(B307=1,IF($F$48="TBC","Amount to be confirmed","Charged at cost - amount not quoted"),"")</f>
        <v/>
      </c>
      <c r="G307" s="0" t="str">
        <f aca="false">IF(B307=1,"The final cost is unknown until invoiced.","")</f>
        <v/>
      </c>
      <c r="H307" s="0" t="str">
        <f aca="false">IF(B307=1,"Ask for an indicative amount; tell the client it may be added.","")</f>
        <v/>
      </c>
      <c r="I307" s="0" t="str">
        <f aca="false">IF(B307=1,"","")</f>
        <v/>
      </c>
      <c r="J307" s="0" t="str">
        <f aca="false">IF(B307=1,D307*1000+ROW(),"")</f>
        <v/>
      </c>
      <c r="K307" s="0" t="str">
        <f aca="false">IF(AND(B307=1,C307="Question"),ROW(),"")</f>
        <v/>
      </c>
    </row>
    <row r="308" customFormat="false" ht="15" hidden="false" customHeight="false" outlineLevel="0" collapsed="false">
      <c r="A308" s="0" t="s">
        <v>578</v>
      </c>
      <c r="B308" s="0" t="n">
        <f aca="false">IFERROR(IF(LEFT($Q$49,5)="Error",1,0),0)</f>
        <v>0</v>
      </c>
      <c r="C308" s="0" t="str">
        <f aca="false">"Error"</f>
        <v>Error</v>
      </c>
      <c r="D308" s="0" t="n">
        <f aca="false">IF(C308="Error",1,IF(C308="Question",2,3))</f>
        <v>1</v>
      </c>
      <c r="E308" s="0" t="str">
        <f aca="false">IF(B308=1,"Line 48: "&amp;$B$49,"")</f>
        <v/>
      </c>
      <c r="F308" s="0" t="str">
        <f aca="false">IF(B308=1,"Line amount does not reconcile","")</f>
        <v/>
      </c>
      <c r="G308" s="0" t="str">
        <f aca="false">IF(B308=1,"Forwarder shows "&amp;TEXT($P$49,"#,##0.00")&amp;" vs calculated "&amp;TEXT($L$49,"#,##0.00")&amp;IF($Y$49&gt;0," before tax / "&amp;TEXT($M$49,"#,##0.00")&amp;" incl. tax","")&amp;" "&amp;$I$49,"")</f>
        <v/>
      </c>
      <c r="H308" s="0" t="str">
        <f aca="false">IF(B308=1,"Ask the forwarder to correct the amount or explain the difference.","")</f>
        <v/>
      </c>
      <c r="I308" s="0" t="str">
        <f aca="false">IF(B308=1,IF(ISNUMBER($J$49),ROUND($R$49*$J$49,2),""),"")</f>
        <v/>
      </c>
      <c r="J308" s="0" t="str">
        <f aca="false">IF(B308=1,D308*1000+ROW(),"")</f>
        <v/>
      </c>
      <c r="K308" s="0" t="str">
        <f aca="false">IF(AND(B308=1,C308="Question"),ROW(),"")</f>
        <v/>
      </c>
    </row>
    <row r="309" customFormat="false" ht="15" hidden="false" customHeight="false" outlineLevel="0" collapsed="false">
      <c r="A309" s="0" t="s">
        <v>579</v>
      </c>
      <c r="B309" s="0" t="n">
        <f aca="false">IFERROR(IF($S$49&gt;0,1,0),0)</f>
        <v>0</v>
      </c>
      <c r="C309" s="0" t="str">
        <f aca="false">"Error"</f>
        <v>Error</v>
      </c>
      <c r="D309" s="0" t="n">
        <f aca="false">IF(C309="Error",1,IF(C309="Question",2,3))</f>
        <v>1</v>
      </c>
      <c r="E309" s="0" t="str">
        <f aca="false">IF(B309=1,"Line 48: "&amp;$B$49,"")</f>
        <v/>
      </c>
      <c r="F309" s="0" t="str">
        <f aca="false">IF(B309=1,"Rate above the agreed rate","")</f>
        <v/>
      </c>
      <c r="G309" s="0" t="str">
        <f aca="false">IF(B309=1,"Quoted "&amp;TEXT($H$49,"#,##0.00##")&amp;" vs agreed "&amp;TEXT(Audit!$M$101,"#,##0.00##")&amp;" "&amp;Audit!$D$101,"")</f>
        <v/>
      </c>
      <c r="H309" s="0" t="str">
        <f aca="false">IF(B309=1,"Ask the forwarder to apply the agreed rate.","")</f>
        <v/>
      </c>
      <c r="I309" s="0" t="str">
        <f aca="false">IF(B309=1,$S$49,"")</f>
        <v/>
      </c>
      <c r="J309" s="0" t="str">
        <f aca="false">IF(B309=1,D309*1000+ROW(),"")</f>
        <v/>
      </c>
      <c r="K309" s="0" t="str">
        <f aca="false">IF(AND(B309=1,C309="Question"),ROW(),"")</f>
        <v/>
      </c>
    </row>
    <row r="310" customFormat="false" ht="15" hidden="false" customHeight="false" outlineLevel="0" collapsed="false">
      <c r="A310" s="0" t="s">
        <v>580</v>
      </c>
      <c r="B310" s="0" t="n">
        <f aca="false">IFERROR(IF($X$49&lt;&gt;"",1,0),0)</f>
        <v>0</v>
      </c>
      <c r="C310" s="0" t="str">
        <f aca="false">"Question"</f>
        <v>Question</v>
      </c>
      <c r="D310" s="0" t="n">
        <f aca="false">IF(C310="Error",1,IF(C310="Question",2,3))</f>
        <v>2</v>
      </c>
      <c r="E310" s="0" t="str">
        <f aca="false">IF(B310=1,"Line 48: "&amp;$B$49,"")</f>
        <v/>
      </c>
      <c r="F310" s="0" t="str">
        <f aca="false">IF(B310=1,IF($X$49="flag",INDEX(Lists!$B$21:$B$25,MATCH($T$49,Lists!$A$21:$A$25,0)),IF($X$49="status","Status missing",IF($X$49="basis","Charging unit not stated",IF($X$49="rate","Rate missing",IF($X$49="base","Base amount not stated",IF($X$49="unclass","Charge not explained",IF($X$49="dup","Possible duplicate (same name, same service)","Charge not in the rate agreement"))))))),"")</f>
        <v/>
      </c>
      <c r="G310" s="0" t="str">
        <f aca="false">IF(B310=1,IF($X$49="flag",IF(Audit!$O$101&lt;&gt;"",Audit!$O$101,INDEX(Lists!$C$21:$C$25,MATCH($T$49,Lists!$A$21:$A$25,0))),IF($X$49="status","No status entered for this line.",IF($X$49="basis","The quotation does not say per what unit this is charged.",IF($X$49="rate","No rate entered for a firm or estimated charge.",IF($X$49="base","A percentage charge needs the amount it is calculated on.",IF($X$49="unclass","The charge does not fit a standard category or its purpose is unclear.",IF($X$49="dup","The same charge name appears more than once in the same service.","A rate agreement was provided but has no rate for this charge."))))))),"")</f>
        <v/>
      </c>
      <c r="H310" s="0" t="str">
        <f aca="false">IF(B310=1,IF($X$49="flag",INDEX(Lists!$E$21:$E$25,MATCH($T$49,Lists!$A$21:$A$25,0)),IF($X$49="status","Set the line status.",IF($X$49="basis","Ask the forwarder for the charging unit (per container, per B/L, per CBM...).",IF($X$49="rate","Enter the rate, or set the status to At cost / TBC.",IF($X$49="base","Ask the forwarder for the base amount (e.g. customs value).",IF($X$49="unclass","Ask the forwarder what this charge covers.",IF($X$49="dup","Ask whether both lines are needed; remove the duplicate.","Ask why the charge is not in the agreement; check the contract."))))))),"")</f>
        <v/>
      </c>
      <c r="I310" s="0" t="str">
        <f aca="false">IF(B310=1,IF(OR($X$49="dup",AND($X$49="flag",IFERROR(INDEX(Lists!$G$21:$G$25,MATCH($T$49,Lists!$A$21:$A$25,0)),0)=1)),IF(ISNUMBER($N$49),$N$49,""),""),"")</f>
        <v/>
      </c>
      <c r="J310" s="0" t="str">
        <f aca="false">IF(B310=1,D310*1000+ROW(),"")</f>
        <v/>
      </c>
      <c r="K310" s="0" t="str">
        <f aca="false">IF(AND(B310=1,C310="Question"),ROW(),"")</f>
        <v/>
      </c>
    </row>
    <row r="311" customFormat="false" ht="15" hidden="false" customHeight="false" outlineLevel="0" collapsed="false">
      <c r="A311" s="0" t="s">
        <v>581</v>
      </c>
      <c r="B311" s="0" t="n">
        <f aca="false">IFERROR(IF(AND($W$49=1,$D$49&lt;&gt;"Duties &amp; taxes"),1,0),0)</f>
        <v>0</v>
      </c>
      <c r="C311" s="0" t="str">
        <f aca="false">"Risk"</f>
        <v>Risk</v>
      </c>
      <c r="D311" s="0" t="n">
        <f aca="false">IF(C311="Error",1,IF(C311="Question",2,3))</f>
        <v>3</v>
      </c>
      <c r="E311" s="0" t="str">
        <f aca="false">IF(B311=1,"Line 48: "&amp;$B$49,"")</f>
        <v/>
      </c>
      <c r="F311" s="0" t="str">
        <f aca="false">IF(B311=1,IF($F$49="TBC","Amount to be confirmed","Charged at cost - amount not quoted"),"")</f>
        <v/>
      </c>
      <c r="G311" s="0" t="str">
        <f aca="false">IF(B311=1,"The final cost is unknown until invoiced.","")</f>
        <v/>
      </c>
      <c r="H311" s="0" t="str">
        <f aca="false">IF(B311=1,"Ask for an indicative amount; tell the client it may be added.","")</f>
        <v/>
      </c>
      <c r="I311" s="0" t="str">
        <f aca="false">IF(B311=1,"","")</f>
        <v/>
      </c>
      <c r="J311" s="0" t="str">
        <f aca="false">IF(B311=1,D311*1000+ROW(),"")</f>
        <v/>
      </c>
      <c r="K311" s="0" t="str">
        <f aca="false">IF(AND(B311=1,C311="Question"),ROW(),"")</f>
        <v/>
      </c>
    </row>
    <row r="312" customFormat="false" ht="15" hidden="false" customHeight="false" outlineLevel="0" collapsed="false">
      <c r="A312" s="0" t="s">
        <v>582</v>
      </c>
      <c r="B312" s="0" t="n">
        <f aca="false">IFERROR(IF(LEFT($Q$50,5)="Error",1,0),0)</f>
        <v>0</v>
      </c>
      <c r="C312" s="0" t="str">
        <f aca="false">"Error"</f>
        <v>Error</v>
      </c>
      <c r="D312" s="0" t="n">
        <f aca="false">IF(C312="Error",1,IF(C312="Question",2,3))</f>
        <v>1</v>
      </c>
      <c r="E312" s="0" t="str">
        <f aca="false">IF(B312=1,"Line 49: "&amp;$B$50,"")</f>
        <v/>
      </c>
      <c r="F312" s="0" t="str">
        <f aca="false">IF(B312=1,"Line amount does not reconcile","")</f>
        <v/>
      </c>
      <c r="G312" s="0" t="str">
        <f aca="false">IF(B312=1,"Forwarder shows "&amp;TEXT($P$50,"#,##0.00")&amp;" vs calculated "&amp;TEXT($L$50,"#,##0.00")&amp;IF($Y$50&gt;0," before tax / "&amp;TEXT($M$50,"#,##0.00")&amp;" incl. tax","")&amp;" "&amp;$I$50,"")</f>
        <v/>
      </c>
      <c r="H312" s="0" t="str">
        <f aca="false">IF(B312=1,"Ask the forwarder to correct the amount or explain the difference.","")</f>
        <v/>
      </c>
      <c r="I312" s="0" t="str">
        <f aca="false">IF(B312=1,IF(ISNUMBER($J$50),ROUND($R$50*$J$50,2),""),"")</f>
        <v/>
      </c>
      <c r="J312" s="0" t="str">
        <f aca="false">IF(B312=1,D312*1000+ROW(),"")</f>
        <v/>
      </c>
      <c r="K312" s="0" t="str">
        <f aca="false">IF(AND(B312=1,C312="Question"),ROW(),"")</f>
        <v/>
      </c>
    </row>
    <row r="313" customFormat="false" ht="15" hidden="false" customHeight="false" outlineLevel="0" collapsed="false">
      <c r="A313" s="0" t="s">
        <v>583</v>
      </c>
      <c r="B313" s="0" t="n">
        <f aca="false">IFERROR(IF($S$50&gt;0,1,0),0)</f>
        <v>0</v>
      </c>
      <c r="C313" s="0" t="str">
        <f aca="false">"Error"</f>
        <v>Error</v>
      </c>
      <c r="D313" s="0" t="n">
        <f aca="false">IF(C313="Error",1,IF(C313="Question",2,3))</f>
        <v>1</v>
      </c>
      <c r="E313" s="0" t="str">
        <f aca="false">IF(B313=1,"Line 49: "&amp;$B$50,"")</f>
        <v/>
      </c>
      <c r="F313" s="0" t="str">
        <f aca="false">IF(B313=1,"Rate above the agreed rate","")</f>
        <v/>
      </c>
      <c r="G313" s="0" t="str">
        <f aca="false">IF(B313=1,"Quoted "&amp;TEXT($H$50,"#,##0.00##")&amp;" vs agreed "&amp;TEXT(Audit!$M$102,"#,##0.00##")&amp;" "&amp;Audit!$D$102,"")</f>
        <v/>
      </c>
      <c r="H313" s="0" t="str">
        <f aca="false">IF(B313=1,"Ask the forwarder to apply the agreed rate.","")</f>
        <v/>
      </c>
      <c r="I313" s="0" t="str">
        <f aca="false">IF(B313=1,$S$50,"")</f>
        <v/>
      </c>
      <c r="J313" s="0" t="str">
        <f aca="false">IF(B313=1,D313*1000+ROW(),"")</f>
        <v/>
      </c>
      <c r="K313" s="0" t="str">
        <f aca="false">IF(AND(B313=1,C313="Question"),ROW(),"")</f>
        <v/>
      </c>
    </row>
    <row r="314" customFormat="false" ht="15" hidden="false" customHeight="false" outlineLevel="0" collapsed="false">
      <c r="A314" s="0" t="s">
        <v>584</v>
      </c>
      <c r="B314" s="0" t="n">
        <f aca="false">IFERROR(IF($X$50&lt;&gt;"",1,0),0)</f>
        <v>0</v>
      </c>
      <c r="C314" s="0" t="str">
        <f aca="false">"Question"</f>
        <v>Question</v>
      </c>
      <c r="D314" s="0" t="n">
        <f aca="false">IF(C314="Error",1,IF(C314="Question",2,3))</f>
        <v>2</v>
      </c>
      <c r="E314" s="0" t="str">
        <f aca="false">IF(B314=1,"Line 49: "&amp;$B$50,"")</f>
        <v/>
      </c>
      <c r="F314" s="0" t="str">
        <f aca="false">IF(B314=1,IF($X$50="flag",INDEX(Lists!$B$21:$B$25,MATCH($T$50,Lists!$A$21:$A$25,0)),IF($X$50="status","Status missing",IF($X$50="basis","Charging unit not stated",IF($X$50="rate","Rate missing",IF($X$50="base","Base amount not stated",IF($X$50="unclass","Charge not explained",IF($X$50="dup","Possible duplicate (same name, same service)","Charge not in the rate agreement"))))))),"")</f>
        <v/>
      </c>
      <c r="G314" s="0" t="str">
        <f aca="false">IF(B314=1,IF($X$50="flag",IF(Audit!$O$102&lt;&gt;"",Audit!$O$102,INDEX(Lists!$C$21:$C$25,MATCH($T$50,Lists!$A$21:$A$25,0))),IF($X$50="status","No status entered for this line.",IF($X$50="basis","The quotation does not say per what unit this is charged.",IF($X$50="rate","No rate entered for a firm or estimated charge.",IF($X$50="base","A percentage charge needs the amount it is calculated on.",IF($X$50="unclass","The charge does not fit a standard category or its purpose is unclear.",IF($X$50="dup","The same charge name appears more than once in the same service.","A rate agreement was provided but has no rate for this charge."))))))),"")</f>
        <v/>
      </c>
      <c r="H314" s="0" t="str">
        <f aca="false">IF(B314=1,IF($X$50="flag",INDEX(Lists!$E$21:$E$25,MATCH($T$50,Lists!$A$21:$A$25,0)),IF($X$50="status","Set the line status.",IF($X$50="basis","Ask the forwarder for the charging unit (per container, per B/L, per CBM...).",IF($X$50="rate","Enter the rate, or set the status to At cost / TBC.",IF($X$50="base","Ask the forwarder for the base amount (e.g. customs value).",IF($X$50="unclass","Ask the forwarder what this charge covers.",IF($X$50="dup","Ask whether both lines are needed; remove the duplicate.","Ask why the charge is not in the agreement; check the contract."))))))),"")</f>
        <v/>
      </c>
      <c r="I314" s="0" t="str">
        <f aca="false">IF(B314=1,IF(OR($X$50="dup",AND($X$50="flag",IFERROR(INDEX(Lists!$G$21:$G$25,MATCH($T$50,Lists!$A$21:$A$25,0)),0)=1)),IF(ISNUMBER($N$50),$N$50,""),""),"")</f>
        <v/>
      </c>
      <c r="J314" s="0" t="str">
        <f aca="false">IF(B314=1,D314*1000+ROW(),"")</f>
        <v/>
      </c>
      <c r="K314" s="0" t="str">
        <f aca="false">IF(AND(B314=1,C314="Question"),ROW(),"")</f>
        <v/>
      </c>
    </row>
    <row r="315" customFormat="false" ht="15" hidden="false" customHeight="false" outlineLevel="0" collapsed="false">
      <c r="A315" s="0" t="s">
        <v>585</v>
      </c>
      <c r="B315" s="0" t="n">
        <f aca="false">IFERROR(IF(AND($W$50=1,$D$50&lt;&gt;"Duties &amp; taxes"),1,0),0)</f>
        <v>0</v>
      </c>
      <c r="C315" s="0" t="str">
        <f aca="false">"Risk"</f>
        <v>Risk</v>
      </c>
      <c r="D315" s="0" t="n">
        <f aca="false">IF(C315="Error",1,IF(C315="Question",2,3))</f>
        <v>3</v>
      </c>
      <c r="E315" s="0" t="str">
        <f aca="false">IF(B315=1,"Line 49: "&amp;$B$50,"")</f>
        <v/>
      </c>
      <c r="F315" s="0" t="str">
        <f aca="false">IF(B315=1,IF($F$50="TBC","Amount to be confirmed","Charged at cost - amount not quoted"),"")</f>
        <v/>
      </c>
      <c r="G315" s="0" t="str">
        <f aca="false">IF(B315=1,"The final cost is unknown until invoiced.","")</f>
        <v/>
      </c>
      <c r="H315" s="0" t="str">
        <f aca="false">IF(B315=1,"Ask for an indicative amount; tell the client it may be added.","")</f>
        <v/>
      </c>
      <c r="I315" s="0" t="str">
        <f aca="false">IF(B315=1,"","")</f>
        <v/>
      </c>
      <c r="J315" s="0" t="str">
        <f aca="false">IF(B315=1,D315*1000+ROW(),"")</f>
        <v/>
      </c>
      <c r="K315" s="0" t="str">
        <f aca="false">IF(AND(B315=1,C315="Question"),ROW(),"")</f>
        <v/>
      </c>
    </row>
    <row r="316" customFormat="false" ht="15" hidden="false" customHeight="false" outlineLevel="0" collapsed="false">
      <c r="A316" s="0" t="s">
        <v>586</v>
      </c>
      <c r="B316" s="0" t="n">
        <f aca="false">IFERROR(IF(LEFT($Q$51,5)="Error",1,0),0)</f>
        <v>0</v>
      </c>
      <c r="C316" s="0" t="str">
        <f aca="false">"Error"</f>
        <v>Error</v>
      </c>
      <c r="D316" s="0" t="n">
        <f aca="false">IF(C316="Error",1,IF(C316="Question",2,3))</f>
        <v>1</v>
      </c>
      <c r="E316" s="0" t="str">
        <f aca="false">IF(B316=1,"Line 50: "&amp;$B$51,"")</f>
        <v/>
      </c>
      <c r="F316" s="0" t="str">
        <f aca="false">IF(B316=1,"Line amount does not reconcile","")</f>
        <v/>
      </c>
      <c r="G316" s="0" t="str">
        <f aca="false">IF(B316=1,"Forwarder shows "&amp;TEXT($P$51,"#,##0.00")&amp;" vs calculated "&amp;TEXT($L$51,"#,##0.00")&amp;IF($Y$51&gt;0," before tax / "&amp;TEXT($M$51,"#,##0.00")&amp;" incl. tax","")&amp;" "&amp;$I$51,"")</f>
        <v/>
      </c>
      <c r="H316" s="0" t="str">
        <f aca="false">IF(B316=1,"Ask the forwarder to correct the amount or explain the difference.","")</f>
        <v/>
      </c>
      <c r="I316" s="0" t="str">
        <f aca="false">IF(B316=1,IF(ISNUMBER($J$51),ROUND($R$51*$J$51,2),""),"")</f>
        <v/>
      </c>
      <c r="J316" s="0" t="str">
        <f aca="false">IF(B316=1,D316*1000+ROW(),"")</f>
        <v/>
      </c>
      <c r="K316" s="0" t="str">
        <f aca="false">IF(AND(B316=1,C316="Question"),ROW(),"")</f>
        <v/>
      </c>
    </row>
    <row r="317" customFormat="false" ht="15" hidden="false" customHeight="false" outlineLevel="0" collapsed="false">
      <c r="A317" s="0" t="s">
        <v>587</v>
      </c>
      <c r="B317" s="0" t="n">
        <f aca="false">IFERROR(IF($S$51&gt;0,1,0),0)</f>
        <v>0</v>
      </c>
      <c r="C317" s="0" t="str">
        <f aca="false">"Error"</f>
        <v>Error</v>
      </c>
      <c r="D317" s="0" t="n">
        <f aca="false">IF(C317="Error",1,IF(C317="Question",2,3))</f>
        <v>1</v>
      </c>
      <c r="E317" s="0" t="str">
        <f aca="false">IF(B317=1,"Line 50: "&amp;$B$51,"")</f>
        <v/>
      </c>
      <c r="F317" s="0" t="str">
        <f aca="false">IF(B317=1,"Rate above the agreed rate","")</f>
        <v/>
      </c>
      <c r="G317" s="0" t="str">
        <f aca="false">IF(B317=1,"Quoted "&amp;TEXT($H$51,"#,##0.00##")&amp;" vs agreed "&amp;TEXT(Audit!$M$103,"#,##0.00##")&amp;" "&amp;Audit!$D$103,"")</f>
        <v/>
      </c>
      <c r="H317" s="0" t="str">
        <f aca="false">IF(B317=1,"Ask the forwarder to apply the agreed rate.","")</f>
        <v/>
      </c>
      <c r="I317" s="0" t="str">
        <f aca="false">IF(B317=1,$S$51,"")</f>
        <v/>
      </c>
      <c r="J317" s="0" t="str">
        <f aca="false">IF(B317=1,D317*1000+ROW(),"")</f>
        <v/>
      </c>
      <c r="K317" s="0" t="str">
        <f aca="false">IF(AND(B317=1,C317="Question"),ROW(),"")</f>
        <v/>
      </c>
    </row>
    <row r="318" customFormat="false" ht="15" hidden="false" customHeight="false" outlineLevel="0" collapsed="false">
      <c r="A318" s="0" t="s">
        <v>588</v>
      </c>
      <c r="B318" s="0" t="n">
        <f aca="false">IFERROR(IF($X$51&lt;&gt;"",1,0),0)</f>
        <v>0</v>
      </c>
      <c r="C318" s="0" t="str">
        <f aca="false">"Question"</f>
        <v>Question</v>
      </c>
      <c r="D318" s="0" t="n">
        <f aca="false">IF(C318="Error",1,IF(C318="Question",2,3))</f>
        <v>2</v>
      </c>
      <c r="E318" s="0" t="str">
        <f aca="false">IF(B318=1,"Line 50: "&amp;$B$51,"")</f>
        <v/>
      </c>
      <c r="F318" s="0" t="str">
        <f aca="false">IF(B318=1,IF($X$51="flag",INDEX(Lists!$B$21:$B$25,MATCH($T$51,Lists!$A$21:$A$25,0)),IF($X$51="status","Status missing",IF($X$51="basis","Charging unit not stated",IF($X$51="rate","Rate missing",IF($X$51="base","Base amount not stated",IF($X$51="unclass","Charge not explained",IF($X$51="dup","Possible duplicate (same name, same service)","Charge not in the rate agreement"))))))),"")</f>
        <v/>
      </c>
      <c r="G318" s="0" t="str">
        <f aca="false">IF(B318=1,IF($X$51="flag",IF(Audit!$O$103&lt;&gt;"",Audit!$O$103,INDEX(Lists!$C$21:$C$25,MATCH($T$51,Lists!$A$21:$A$25,0))),IF($X$51="status","No status entered for this line.",IF($X$51="basis","The quotation does not say per what unit this is charged.",IF($X$51="rate","No rate entered for a firm or estimated charge.",IF($X$51="base","A percentage charge needs the amount it is calculated on.",IF($X$51="unclass","The charge does not fit a standard category or its purpose is unclear.",IF($X$51="dup","The same charge name appears more than once in the same service.","A rate agreement was provided but has no rate for this charge."))))))),"")</f>
        <v/>
      </c>
      <c r="H318" s="0" t="str">
        <f aca="false">IF(B318=1,IF($X$51="flag",INDEX(Lists!$E$21:$E$25,MATCH($T$51,Lists!$A$21:$A$25,0)),IF($X$51="status","Set the line status.",IF($X$51="basis","Ask the forwarder for the charging unit (per container, per B/L, per CBM...).",IF($X$51="rate","Enter the rate, or set the status to At cost / TBC.",IF($X$51="base","Ask the forwarder for the base amount (e.g. customs value).",IF($X$51="unclass","Ask the forwarder what this charge covers.",IF($X$51="dup","Ask whether both lines are needed; remove the duplicate.","Ask why the charge is not in the agreement; check the contract."))))))),"")</f>
        <v/>
      </c>
      <c r="I318" s="0" t="str">
        <f aca="false">IF(B318=1,IF(OR($X$51="dup",AND($X$51="flag",IFERROR(INDEX(Lists!$G$21:$G$25,MATCH($T$51,Lists!$A$21:$A$25,0)),0)=1)),IF(ISNUMBER($N$51),$N$51,""),""),"")</f>
        <v/>
      </c>
      <c r="J318" s="0" t="str">
        <f aca="false">IF(B318=1,D318*1000+ROW(),"")</f>
        <v/>
      </c>
      <c r="K318" s="0" t="str">
        <f aca="false">IF(AND(B318=1,C318="Question"),ROW(),"")</f>
        <v/>
      </c>
    </row>
    <row r="319" customFormat="false" ht="15" hidden="false" customHeight="false" outlineLevel="0" collapsed="false">
      <c r="A319" s="0" t="s">
        <v>589</v>
      </c>
      <c r="B319" s="0" t="n">
        <f aca="false">IFERROR(IF(AND($W$51=1,$D$51&lt;&gt;"Duties &amp; taxes"),1,0),0)</f>
        <v>0</v>
      </c>
      <c r="C319" s="0" t="str">
        <f aca="false">"Risk"</f>
        <v>Risk</v>
      </c>
      <c r="D319" s="0" t="n">
        <f aca="false">IF(C319="Error",1,IF(C319="Question",2,3))</f>
        <v>3</v>
      </c>
      <c r="E319" s="0" t="str">
        <f aca="false">IF(B319=1,"Line 50: "&amp;$B$51,"")</f>
        <v/>
      </c>
      <c r="F319" s="0" t="str">
        <f aca="false">IF(B319=1,IF($F$51="TBC","Amount to be confirmed","Charged at cost - amount not quoted"),"")</f>
        <v/>
      </c>
      <c r="G319" s="0" t="str">
        <f aca="false">IF(B319=1,"The final cost is unknown until invoiced.","")</f>
        <v/>
      </c>
      <c r="H319" s="0" t="str">
        <f aca="false">IF(B319=1,"Ask for an indicative amount; tell the client it may be added.","")</f>
        <v/>
      </c>
      <c r="I319" s="0" t="str">
        <f aca="false">IF(B319=1,"","")</f>
        <v/>
      </c>
      <c r="J319" s="0" t="str">
        <f aca="false">IF(B319=1,D319*1000+ROW(),"")</f>
        <v/>
      </c>
      <c r="K319" s="0" t="str">
        <f aca="false">IF(AND(B319=1,C319="Question"),ROW(),"")</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2026-10-22T22:23:40Z</dcterms:created>
  <dc:creator>MOVE Supply Chain</dc:creator>
  <dc:description/>
  <dc:language>en-US</dc:language>
  <cp:lastModifiedBy/>
  <dcterms:modified xsi:type="dcterms:W3CDTF">2026-10-22T22:23:40Z</dcterms:modified>
  <cp:revision>0</cp:revision>
  <dc:subject/>
  <dc:title>MOVE Freight Quotation Audit - UAT v1.0</dc:title>
  <cp:version>1.0</cp:version>
</cp:coreProperties>
</file>

<file path=docProps/custom.xml><?xml version="1.0" encoding="utf-8"?>
<Properties xmlns="http://schemas.openxmlformats.org/officeDocument/2006/custom-properties" xmlns:vt="http://schemas.openxmlformats.org/officeDocument/2006/docPropsVTypes"/>
</file>